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\Documents\App Solugan Sg\Iatf Pro\"/>
    </mc:Choice>
  </mc:AlternateContent>
  <xr:revisionPtr revIDLastSave="0" documentId="13_ncr:1_{5BAAA65A-C474-4DE3-9BD1-4F09D7B78746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Protocolos Iatf" sheetId="32" r:id="rId1"/>
    <sheet name="Lista" sheetId="29" state="hidden" r:id="rId2"/>
  </sheets>
  <definedNames>
    <definedName name="_xlnm._FilterDatabase" localSheetId="0" hidden="1">'Protocolos Iatf'!$B$1:$T$20</definedName>
    <definedName name="Animales">Lista!$D$3:$D$203</definedName>
    <definedName name="ano">Lista!$AF$3:$AF$14</definedName>
    <definedName name="AT">Lista!$J$12:$J$13</definedName>
    <definedName name="Compra">Lista!$H$3:$H$33</definedName>
    <definedName name="Contenido">Lista!$L$3:$L$14</definedName>
    <definedName name="dia">Lista!$AB$3:$AB$33</definedName>
    <definedName name="diap">Lista!$L$17:$L$128</definedName>
    <definedName name="Dosis">Lista!$B$3:$B$30</definedName>
    <definedName name="Duracionlactancia">Lista!$T$3:$T$47</definedName>
    <definedName name="GANADERIA">Lista!$F$9:$F$13</definedName>
    <definedName name="Gen">Lista!$J$7:$J$9</definedName>
    <definedName name="IATE">Lista!$AH$3:$AH$149</definedName>
    <definedName name="Lecheanimal">Lista!$V$3:$V$102</definedName>
    <definedName name="LISTAPROTOCOLOS">TPROTOCOLOS[Protocolos/Hormonas]</definedName>
    <definedName name="Litroslactancia">Lista!$R$3:$R$495</definedName>
    <definedName name="M.O">Lista!$J$3:$J$4</definedName>
    <definedName name="mes">Lista!$AD$3:$AD$14</definedName>
    <definedName name="Pesodestete">Lista!$Z$3:$Z$64</definedName>
    <definedName name="Pre">Lista!$F$16:$F$17</definedName>
    <definedName name="precioventaleche">Lista!$P$3:$P$164</definedName>
    <definedName name="Presentacion">Lista!$J$17:$J$25</definedName>
    <definedName name="PROTOCOLOS">Lista!$F$20:$F$40</definedName>
    <definedName name="Umedida">Lista!$B$33:$B$37</definedName>
    <definedName name="Usos">Lista!$F$3:$F$6</definedName>
    <definedName name="Valor">Lista!$N$3:$N$594</definedName>
    <definedName name="Valorkilo">Lista!$X$3:$X$204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9" i="29" l="1"/>
  <c r="AK13" i="29" l="1"/>
  <c r="AK15" i="29" s="1"/>
</calcChain>
</file>

<file path=xl/sharedStrings.xml><?xml version="1.0" encoding="utf-8"?>
<sst xmlns="http://schemas.openxmlformats.org/spreadsheetml/2006/main" count="292" uniqueCount="123">
  <si>
    <t>Contenido</t>
  </si>
  <si>
    <t>ml</t>
  </si>
  <si>
    <t>Frasco</t>
  </si>
  <si>
    <t>Duracion
Lactancia</t>
  </si>
  <si>
    <t>Precio Venta
Litro Leche</t>
  </si>
  <si>
    <t>Peso
Destete</t>
  </si>
  <si>
    <t>Animales</t>
  </si>
  <si>
    <t>Dosis</t>
  </si>
  <si>
    <t>Compra</t>
  </si>
  <si>
    <t>M.O</t>
  </si>
  <si>
    <t>Valor Producto</t>
  </si>
  <si>
    <t>Leche
Animal</t>
  </si>
  <si>
    <t>Valor Kilo</t>
  </si>
  <si>
    <t>DIA</t>
  </si>
  <si>
    <t>MES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</si>
  <si>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</si>
  <si>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</si>
  <si>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</si>
  <si>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</si>
  <si>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</si>
  <si>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</si>
  <si>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</si>
  <si>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</si>
  <si>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</si>
  <si>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</si>
  <si>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</si>
  <si>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</si>
  <si>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</si>
  <si>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IA TE</t>
  </si>
  <si>
    <t>DIB
Usos</t>
  </si>
  <si>
    <t>Lecheria Especializada</t>
  </si>
  <si>
    <t>Lecheria Tropical (DP)</t>
  </si>
  <si>
    <t>Seleccione Ganaderia</t>
  </si>
  <si>
    <t>Cria Comercial</t>
  </si>
  <si>
    <t>Ganado Puro</t>
  </si>
  <si>
    <t>GANADERIA</t>
  </si>
  <si>
    <t>Dx 1</t>
  </si>
  <si>
    <t>Pre</t>
  </si>
  <si>
    <t>Si</t>
  </si>
  <si>
    <t>No</t>
  </si>
  <si>
    <t>Dx 2</t>
  </si>
  <si>
    <t>Protocolos/Hormonas</t>
  </si>
  <si>
    <t>Dia
Protocolo</t>
  </si>
  <si>
    <t>Aspiracion Folicular</t>
  </si>
  <si>
    <t>Retiro DIB</t>
  </si>
  <si>
    <t>Unidad de Medida</t>
  </si>
  <si>
    <t>Und</t>
  </si>
  <si>
    <t>Genetica
Semen/Embrion</t>
  </si>
  <si>
    <t>IATF 48-60 hs - GnRh Opcional</t>
  </si>
  <si>
    <t>IATF 72 hs + GnRh</t>
  </si>
  <si>
    <t>Observaciones</t>
  </si>
  <si>
    <t>IATF 24-32 horas</t>
  </si>
  <si>
    <t>IATF 17-24 horas post GnRh</t>
  </si>
  <si>
    <t>IATF 48 horas + GnRh</t>
  </si>
  <si>
    <t>IA celo detectado + GnRh</t>
  </si>
  <si>
    <t>Observar celo 1-5 dias IA 12 horas post celo estable</t>
  </si>
  <si>
    <t>Observar celo - IA 12 horas post celo estable</t>
  </si>
  <si>
    <t>IA celo detectado ó Toro x 5 dias</t>
  </si>
  <si>
    <t>Transferencia de Embriones</t>
  </si>
  <si>
    <t>Asistencia tecnica 1</t>
  </si>
  <si>
    <t>Asistencia tecnica 2</t>
  </si>
  <si>
    <t>Total</t>
  </si>
  <si>
    <t>Asis.Tec</t>
  </si>
  <si>
    <t>Gen</t>
  </si>
  <si>
    <t>AT</t>
  </si>
  <si>
    <t>Seleccione Protocolo</t>
  </si>
  <si>
    <t>Litros
Lactancia</t>
  </si>
  <si>
    <t>Cipionato de Estradiol
(CE)</t>
  </si>
  <si>
    <t>ROJO</t>
  </si>
  <si>
    <t>AMARILLO</t>
  </si>
  <si>
    <t>AZUL</t>
  </si>
  <si>
    <t>VERDE</t>
  </si>
  <si>
    <t>TOTAL</t>
  </si>
  <si>
    <t>COLORES</t>
  </si>
  <si>
    <t>Aguja</t>
  </si>
  <si>
    <t>Formula</t>
  </si>
  <si>
    <t>Ancho</t>
  </si>
  <si>
    <t>% Preñez</t>
  </si>
  <si>
    <t>NARANJA</t>
  </si>
  <si>
    <t>Color</t>
  </si>
  <si>
    <t>Valor</t>
  </si>
  <si>
    <t>Concepto</t>
  </si>
  <si>
    <t>Dispositivo Intravaginal Bovino
(P4)</t>
  </si>
  <si>
    <t>Benzoato de Estradiol
(BE)
1a Dosis</t>
  </si>
  <si>
    <t>Benzoato de Estradiol
(BE)
2a Dosis</t>
  </si>
  <si>
    <t>Hormona Liberadora
de Gonadotropina
(GnRh)
1a Dosis</t>
  </si>
  <si>
    <t>Hormona Liberadora
de Gonadotropina
(GnRh)
2a Dosis</t>
  </si>
  <si>
    <t>Prostglandina
(Pgf2@)
1a Dosis</t>
  </si>
  <si>
    <t>Prostglandina
(Pgf2@)
2a Dosis</t>
  </si>
  <si>
    <t>Prostglandina
(Pgf2@)
3a Dosis</t>
  </si>
  <si>
    <t>Gonadotropina Corionica
Equina
(eCG)</t>
  </si>
  <si>
    <t>-</t>
  </si>
  <si>
    <t>Lab</t>
  </si>
  <si>
    <t>IA/TE</t>
  </si>
  <si>
    <t>Obs</t>
  </si>
  <si>
    <t>Dx1</t>
  </si>
  <si>
    <t>Dx2</t>
  </si>
  <si>
    <t>Presentacion</t>
  </si>
  <si>
    <t>Bolsa</t>
  </si>
  <si>
    <t>Semen/Embrion</t>
  </si>
  <si>
    <t>Semen</t>
  </si>
  <si>
    <t>Embrion</t>
  </si>
  <si>
    <t>Resincronizacion 1 (IATF)</t>
  </si>
  <si>
    <t>Resincronizacion 2 (IATF)</t>
  </si>
  <si>
    <t>Receptoras 1 (IATF)</t>
  </si>
  <si>
    <t>Receptoras 2 (IATF)</t>
  </si>
  <si>
    <t>Monta Natural 1 (IA)</t>
  </si>
  <si>
    <t>Monta Natural 2 (IA)</t>
  </si>
  <si>
    <t>Monta Natural 3 DIB (IA)</t>
  </si>
  <si>
    <t>Iatf/Te</t>
  </si>
  <si>
    <t>IATF 48-52 horas post Pgf2@</t>
  </si>
  <si>
    <t>Utilizar DIB de segundo uso - Iatf 48-60 hs GnRh opcional</t>
  </si>
  <si>
    <t>Tradicional (IATF)</t>
  </si>
  <si>
    <t>Jsynch (IATF)</t>
  </si>
  <si>
    <t>Novillas (IATF)</t>
  </si>
  <si>
    <t>Ovsynch (IATF)</t>
  </si>
  <si>
    <t>Cosynch (IATF)</t>
  </si>
  <si>
    <t>Heatsynch (IATF)</t>
  </si>
  <si>
    <t>Presynch (IA)</t>
  </si>
  <si>
    <t>Selectsynch (IA)</t>
  </si>
  <si>
    <t>Dib Vacas (IA)</t>
  </si>
  <si>
    <t>Dib Novillas (IA)</t>
  </si>
  <si>
    <t>DoblePGF2@ (IA)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</si>
</sst>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0.0"/>
    <numFmt numFmtId="166" formatCode="_-[$$-240A]\ * #,##0_-;\-[$$-240A]\ * #,##0_-;_-[$$-240A]\ * &quot;-&quot;??_-;_-@_-"/>
    <numFmt numFmtId="167" formatCode="&quot;$&quot;\ #,##0"/>
  </numFmts>
  <fonts count="2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4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color rgb="FF0070C0"/>
      <name val="Calibri"/>
      <family val="2"/>
      <scheme val="minor"/>
    </font>
    <font>
      <sz val="18"/>
      <color rgb="FF002060"/>
      <name val="Calibri"/>
      <family val="2"/>
      <scheme val="minor"/>
    </font>
    <font>
      <sz val="18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167" fontId="11" fillId="0" borderId="0" xfId="1" applyNumberFormat="1" applyFont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7" fontId="0" fillId="0" borderId="0" xfId="0" applyNumberFormat="1"/>
    <xf numFmtId="167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hidden="1"/>
    </xf>
    <xf numFmtId="0" fontId="15" fillId="0" borderId="0" xfId="0" applyFont="1" applyProtection="1"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wrapText="1"/>
      <protection hidden="1"/>
    </xf>
    <xf numFmtId="0" fontId="4" fillId="0" borderId="0" xfId="0" applyFont="1" applyProtection="1">
      <protection hidden="1"/>
    </xf>
    <xf numFmtId="165" fontId="8" fillId="0" borderId="0" xfId="0" applyNumberFormat="1" applyFont="1" applyAlignment="1" applyProtection="1">
      <alignment horizontal="center" vertical="center"/>
      <protection hidden="1"/>
    </xf>
    <xf numFmtId="1" fontId="8" fillId="0" borderId="0" xfId="0" applyNumberFormat="1" applyFont="1" applyAlignment="1" applyProtection="1">
      <alignment horizontal="center" vertical="center"/>
      <protection hidden="1"/>
    </xf>
    <xf numFmtId="165" fontId="7" fillId="0" borderId="0" xfId="0" applyNumberFormat="1" applyFont="1" applyAlignment="1" applyProtection="1">
      <alignment horizontal="center" vertical="center"/>
      <protection hidden="1"/>
    </xf>
    <xf numFmtId="166" fontId="8" fillId="0" borderId="0" xfId="0" applyNumberFormat="1" applyFont="1" applyProtection="1">
      <protection hidden="1"/>
    </xf>
    <xf numFmtId="166" fontId="10" fillId="0" borderId="0" xfId="0" applyNumberFormat="1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11" fillId="0" borderId="0" xfId="0" applyFont="1" applyProtection="1">
      <protection hidden="1"/>
    </xf>
    <xf numFmtId="0" fontId="12" fillId="2" borderId="0" xfId="0" applyFont="1" applyFill="1" applyAlignment="1" applyProtection="1">
      <alignment horizontal="center" vertical="center" wrapText="1"/>
      <protection hidden="1"/>
    </xf>
    <xf numFmtId="0" fontId="18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206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70C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protection locked="1" hidden="1"/>
    </dxf>
  </dxfs>
  <tableStyles count="0" defaultTableStyle="TableStyleMedium9" defaultPivotStyle="PivotStyleLight16"/>
  <colors>
    <mruColors>
      <color rgb="FFFFFF66"/>
      <color rgb="FF00CC00"/>
      <color rgb="FF008000"/>
      <color rgb="FFFFB9B9"/>
      <color rgb="FF005DA2"/>
      <color rgb="FF00A44A"/>
      <color rgb="FFC9FFC9"/>
      <color rgb="FF00FF00"/>
      <color rgb="FF99FF99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B56397F-047D-4BCE-86BC-BE5F01EC2EAD}" name="TPROTOCOLOS" displayName="TPROTOCOLOS" ref="B1:U20" totalsRowShown="0" headerRowDxfId="100" dataDxfId="99">
  <autoFilter ref="B1:U20" xr:uid="{2B56397F-047D-4BCE-86BC-BE5F01EC2EAD}"/>
  <tableColumns count="20">
    <tableColumn id="1" xr3:uid="{00B01F62-DDCB-4491-8F7C-94B96EDCBB5F}" name="Protocolos/Hormonas" dataDxfId="98"/>
    <tableColumn id="2" xr3:uid="{A17BD22E-4F2C-4FB4-BE3D-7DF5179F326A}" name="Dispositivo Intravaginal Bovino_x000a_(P4)" dataDxfId="97"/>
    <tableColumn id="3" xr3:uid="{2340CE0D-FA66-426F-A318-49C3BCBEBA2C}" name="Benzoato de Estradiol_x000a_(BE)_x000a_1a Dosis" dataDxfId="96"/>
    <tableColumn id="4" xr3:uid="{87269C4A-73DA-4326-B06E-9139142CBFDA}" name="Benzoato de Estradiol_x000a_(BE)_x000a_2a Dosis" dataDxfId="95"/>
    <tableColumn id="5" xr3:uid="{2CE01E06-D3E2-4622-BB8C-AFF084D7E25C}" name="Hormona Liberadora_x000a_de Gonadotropina_x000a_(GnRh)_x000a_1a Dosis" dataDxfId="94"/>
    <tableColumn id="6" xr3:uid="{6A40E5C4-66FB-4316-BA06-3CC408EAC486}" name="Hormona Liberadora_x000a_de Gonadotropina_x000a_(GnRh)_x000a_2a Dosis" dataDxfId="93"/>
    <tableColumn id="7" xr3:uid="{9D9A35F2-2BB3-44B7-9947-4D21A64948A8}" name="Prostglandina_x000a_(Pgf2@)_x000a_1a Dosis" dataDxfId="92"/>
    <tableColumn id="8" xr3:uid="{43FF2D5D-31B9-4A92-83C2-0EBC271F2932}" name="Prostglandina_x000a_(Pgf2@)_x000a_2a Dosis" dataDxfId="91"/>
    <tableColumn id="9" xr3:uid="{026E95B7-2BFD-41E8-A01D-5607ADB2F7FB}" name="Prostglandina_x000a_(Pgf2@)_x000a_3a Dosis" dataDxfId="90"/>
    <tableColumn id="10" xr3:uid="{43C71543-D9C9-434B-8811-8D852F27FF1F}" name="Gonadotropina Corionica_x000a_Equina_x000a_(eCG)" dataDxfId="89"/>
    <tableColumn id="11" xr3:uid="{663D3DC1-A22E-451D-BF73-FCACB8772905}" name="Cipionato de Estradiol_x000a_(CE)" dataDxfId="88"/>
    <tableColumn id="12" xr3:uid="{5D14AD43-2862-4444-834B-48548A52867A}" name="Genetica_x000a_Semen/Embrion" dataDxfId="87"/>
    <tableColumn id="13" xr3:uid="{FAEB4E31-BB1F-4196-97C7-D1085FB8EE5B}" name="Retiro DIB" dataDxfId="86"/>
    <tableColumn id="14" xr3:uid="{92F44291-FBC7-499C-9FF4-FF529361977B}" name="Asistencia tecnica 1" dataDxfId="85"/>
    <tableColumn id="15" xr3:uid="{9822DEA7-7AB8-4332-B980-3FC98820CE25}" name="Asistencia tecnica 2" dataDxfId="84"/>
    <tableColumn id="17" xr3:uid="{EC9082B5-881F-4D2C-AB43-5581B27C3121}" name="Iatf/Te" dataDxfId="83"/>
    <tableColumn id="16" xr3:uid="{286B168E-E594-42DC-A41C-69DDDDAE546B}" name="Aspiracion Folicular" dataDxfId="82"/>
    <tableColumn id="19" xr3:uid="{87459BF3-A0DD-45AD-A6DC-CFA89CBBBBCD}" name="Dx 1" dataDxfId="81"/>
    <tableColumn id="20" xr3:uid="{42C995CC-4EF6-4074-ABBD-0AB785494D0F}" name="Dx 2" dataDxfId="80"/>
    <tableColumn id="21" xr3:uid="{DC19EF74-7350-4F95-AF39-206CB198EE18}" name="Observaciones" dataDxfId="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1000000}" name="Tabla27" displayName="Tabla27" ref="B2:B30" totalsRowShown="0" headerRowDxfId="78" dataDxfId="77">
  <autoFilter ref="B2:B30" xr:uid="{00000000-0009-0000-0100-00001B000000}">
    <filterColumn colId="0" hiddenButton="1"/>
  </autoFilter>
  <tableColumns count="1">
    <tableColumn id="1" xr3:uid="{00000000-0010-0000-0100-000001000000}" name="Dosis" dataDxfId="7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2000000}" name="Tabla29" displayName="Tabla29" ref="D2:D203" totalsRowShown="0" headerRowDxfId="75" dataDxfId="74">
  <autoFilter ref="D2:D203" xr:uid="{00000000-0009-0000-0100-00001D000000}">
    <filterColumn colId="0" hiddenButton="1"/>
  </autoFilter>
  <tableColumns count="1">
    <tableColumn id="1" xr3:uid="{00000000-0010-0000-0200-000001000000}" name="Animales" dataDxfId="7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3000000}" name="Tabla38" displayName="Tabla38" ref="F2:F6" totalsRowShown="0" headerRowDxfId="72" dataDxfId="71">
  <autoFilter ref="F2:F6" xr:uid="{00000000-0009-0000-0100-000026000000}">
    <filterColumn colId="0" hiddenButton="1"/>
  </autoFilter>
  <tableColumns count="1">
    <tableColumn id="1" xr3:uid="{00000000-0010-0000-0300-000001000000}" name="DIB_x000a_Usos" dataDxfId="70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4000000}" name="Tabla39" displayName="Tabla39" ref="H2:H33" totalsRowShown="0" headerRowDxfId="69" dataDxfId="68">
  <autoFilter ref="H2:H33" xr:uid="{00000000-0009-0000-0100-000027000000}">
    <filterColumn colId="0" hiddenButton="1"/>
  </autoFilter>
  <tableColumns count="1">
    <tableColumn id="1" xr3:uid="{00000000-0010-0000-0400-000001000000}" name="Compra" dataDxfId="67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5000000}" name="Tabla40" displayName="Tabla40" ref="J2:J4" totalsRowShown="0" headerRowDxfId="66" dataDxfId="65">
  <autoFilter ref="J2:J4" xr:uid="{00000000-0009-0000-0100-000028000000}">
    <filterColumn colId="0" hiddenButton="1"/>
  </autoFilter>
  <tableColumns count="1">
    <tableColumn id="1" xr3:uid="{00000000-0010-0000-0500-000001000000}" name="M.O" dataDxfId="64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06000000}" name="Tabla45" displayName="Tabla45" ref="L2:L14" totalsRowShown="0" headerRowDxfId="63" dataDxfId="62">
  <autoFilter ref="L2:L14" xr:uid="{00000000-0009-0000-0100-00002D000000}">
    <filterColumn colId="0" hiddenButton="1"/>
  </autoFilter>
  <tableColumns count="1">
    <tableColumn id="1" xr3:uid="{00000000-0010-0000-0600-000001000000}" name="Contenido" dataDxfId="61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3AED61-9F4D-4CA3-A32B-5992E79E5ECC}" name="Tabla3" displayName="Tabla3" ref="P2:P164" totalsRowShown="0" headerRowDxfId="60" dataDxfId="59" dataCellStyle="Moneda">
  <autoFilter ref="P2:P164" xr:uid="{D23AED61-9F4D-4CA3-A32B-5992E79E5ECC}">
    <filterColumn colId="0" hiddenButton="1"/>
  </autoFilter>
  <tableColumns count="1">
    <tableColumn id="1" xr3:uid="{8178CB65-7149-46B1-A94C-402B0F384105}" name="Precio Venta_x000a_Litro Leche" dataDxfId="58" dataCellStyle="Moneda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54D5DA-758E-442F-AFD4-DB83968CFD3E}" name="Tabla4" displayName="Tabla4" ref="R2:R495" totalsRowShown="0" headerRowDxfId="57" dataDxfId="56">
  <autoFilter ref="R2:R495" xr:uid="{7354D5DA-758E-442F-AFD4-DB83968CFD3E}">
    <filterColumn colId="0" hiddenButton="1"/>
  </autoFilter>
  <tableColumns count="1">
    <tableColumn id="1" xr3:uid="{75A062AA-60A8-465D-B936-DECA1C4FEABB}" name="Litros_x000a_Lactancia" dataDxfId="5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EFB72F-7C1B-4D0B-89D7-E50074BA9A66}" name="Tabla5" displayName="Tabla5" ref="T2:T47" totalsRowShown="0" headerRowDxfId="54" dataDxfId="53">
  <autoFilter ref="T2:T47" xr:uid="{A7EFB72F-7C1B-4D0B-89D7-E50074BA9A66}">
    <filterColumn colId="0" hiddenButton="1"/>
  </autoFilter>
  <tableColumns count="1">
    <tableColumn id="1" xr3:uid="{78948901-35D0-42DF-B953-A38B2957CA00}" name="Duracion_x000a_Lactancia" dataDxfId="52"/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99AD74-3442-4464-BDAC-88FE9B6DF311}" name="Tabla8" displayName="Tabla8" ref="V2:V102" totalsRowShown="0" headerRowDxfId="51" dataDxfId="50">
  <autoFilter ref="V2:V102" xr:uid="{E199AD74-3442-4464-BDAC-88FE9B6DF311}">
    <filterColumn colId="0" hiddenButton="1"/>
  </autoFilter>
  <tableColumns count="1">
    <tableColumn id="1" xr3:uid="{F3195B08-7F81-4C5C-A631-A6B8D875C352}" name="Leche_x000a_Animal" dataDxfId="49"/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AE31B6-6B00-44B8-87C5-1F5D6D71334B}" name="Tabla9" displayName="Tabla9" ref="X2:X204" totalsRowShown="0" headerRowDxfId="48" dataDxfId="47">
  <autoFilter ref="X2:X204" xr:uid="{5DAE31B6-6B00-44B8-87C5-1F5D6D71334B}">
    <filterColumn colId="0" hiddenButton="1"/>
  </autoFilter>
  <tableColumns count="1">
    <tableColumn id="1" xr3:uid="{20AE4FCF-B5F0-41F8-8D6C-ED24C89034C4}" name="Valor Kilo" dataDxfId="4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22FB0EC-8519-4971-80E7-49C37746DAA4}" name="Tabla10" displayName="Tabla10" ref="Z2:Z64" totalsRowShown="0" headerRowDxfId="45" dataDxfId="44">
  <autoFilter ref="Z2:Z64" xr:uid="{F22FB0EC-8519-4971-80E7-49C37746DAA4}">
    <filterColumn colId="0" hiddenButton="1"/>
  </autoFilter>
  <tableColumns count="1">
    <tableColumn id="1" xr3:uid="{2D219F54-591B-4BBB-B9B6-3CB2170907BB}" name="Peso_x000a_Destete" dataDxfId="43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B78629-B23C-441E-82C5-7DEEA239AD70}" name="Tabla2" displayName="Tabla2" ref="AB2:AB33" totalsRowShown="0" headerRowDxfId="42" dataDxfId="41">
  <autoFilter ref="AB2:AB33" xr:uid="{3CB78629-B23C-441E-82C5-7DEEA239AD70}">
    <filterColumn colId="0" hiddenButton="1"/>
  </autoFilter>
  <tableColumns count="1">
    <tableColumn id="1" xr3:uid="{C8A3D7DB-6BA1-4B4E-963C-1FEA41063E60}" name="DIA" dataDxfId="4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28D16B-6730-44B4-9EC6-2ACBEC9B79D2}" name="Tabla6" displayName="Tabla6" ref="AD2:AD14" totalsRowShown="0" headerRowDxfId="39" dataDxfId="38">
  <autoFilter ref="AD2:AD14" xr:uid="{1228D16B-6730-44B4-9EC6-2ACBEC9B79D2}">
    <filterColumn colId="0" hiddenButton="1"/>
  </autoFilter>
  <tableColumns count="1">
    <tableColumn id="1" xr3:uid="{636A28E5-E8B3-429D-9A09-19EC4823FF3A}" name="MES" dataDxfId="37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C9E7B91-1403-4EE5-9A73-D15F70D076BE}" name="Tabla11" displayName="Tabla11" ref="AF2:AF14" totalsRowShown="0" headerRowDxfId="36" dataDxfId="35">
  <autoFilter ref="AF2:AF14" xr:uid="{AC9E7B91-1403-4EE5-9A73-D15F70D076BE}">
    <filterColumn colId="0" hiddenButton="1"/>
  </autoFilter>
  <tableColumns count="1">
    <tableColumn id="1" xr3:uid="{884BEDE7-4504-49AF-9EBB-BD97AD58C790}" name="AÑO" dataDxfId="34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D391EC-146B-4E87-AC2D-58877544E71D}" name="Tabla12" displayName="Tabla12" ref="AH2:AH149" totalsRowShown="0" headerRowDxfId="33" dataDxfId="32">
  <autoFilter ref="AH2:AH149" xr:uid="{13D391EC-146B-4E87-AC2D-58877544E71D}">
    <filterColumn colId="0" hiddenButton="1"/>
  </autoFilter>
  <tableColumns count="1">
    <tableColumn id="1" xr3:uid="{9948EA4E-F400-46BB-96B9-BAC60C7D5FD5}" name="IA TE" dataDxfId="3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2BDAF0C-B979-4702-8BF4-311284289BE6}" name="Tabla14" displayName="Tabla14" ref="F8:F13" totalsRowShown="0" headerRowDxfId="30" dataDxfId="29">
  <autoFilter ref="F8:F13" xr:uid="{12BDAF0C-B979-4702-8BF4-311284289BE6}">
    <filterColumn colId="0" hiddenButton="1"/>
  </autoFilter>
  <tableColumns count="1">
    <tableColumn id="1" xr3:uid="{F179F674-31E0-4020-8BE4-87D59A7FC629}" name="GANADERIA" dataDxfId="28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68E398-B0A6-4D8E-BD12-F668B083AC3E}" name="Tabla7" displayName="Tabla7" ref="F15:F17" totalsRowShown="0" headerRowDxfId="27" dataDxfId="26">
  <autoFilter ref="F15:F17" xr:uid="{5668E398-B0A6-4D8E-BD12-F668B083AC3E}">
    <filterColumn colId="0" hiddenButton="1"/>
  </autoFilter>
  <tableColumns count="1">
    <tableColumn id="1" xr3:uid="{31B87CDA-9737-4E64-A9BE-F78E9BDDB779}" name="Pre" dataDxfId="25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C8F8C7C-3B40-497F-8A40-143CDED508CD}" name="Tabla13" displayName="Tabla13" ref="L16:L128" totalsRowShown="0" headerRowDxfId="24" dataDxfId="23">
  <autoFilter ref="L16:L128" xr:uid="{0C8F8C7C-3B40-497F-8A40-143CDED508CD}">
    <filterColumn colId="0" hiddenButton="1"/>
  </autoFilter>
  <tableColumns count="1">
    <tableColumn id="1" xr3:uid="{301F62F1-BB09-441C-A8B2-13A959191C9D}" name="Dia_x000a_Protocolo" dataDxfId="22"/>
  </tableColumns>
  <tableStyleInfo name="TableStyleLight10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F5E813B-2C26-4B70-8FB2-B0A0BE0675AB}" name="Tabla16" displayName="Tabla16" ref="B32:B37" totalsRowShown="0" headerRowDxfId="21" dataDxfId="20">
  <autoFilter ref="B32:B37" xr:uid="{8F5E813B-2C26-4B70-8FB2-B0A0BE0675AB}">
    <filterColumn colId="0" hiddenButton="1"/>
  </autoFilter>
  <tableColumns count="1">
    <tableColumn id="1" xr3:uid="{1097FAF1-3D3A-4805-B026-6BB52FB16D6A}" name="Unidad de Medida" dataDxfId="19"/>
  </tableColumns>
  <tableStyleInfo name="TableStyleMedium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4544D-5534-4342-8A3A-088B9139769B}" name="Tabla1" displayName="Tabla1" ref="N2:N594" totalsRowShown="0" headerRowDxfId="18" dataDxfId="17">
  <autoFilter ref="N2:N594" xr:uid="{9034544D-5534-4342-8A3A-088B9139769B}">
    <filterColumn colId="0" hiddenButton="1"/>
  </autoFilter>
  <tableColumns count="1">
    <tableColumn id="1" xr3:uid="{16DFF53A-B1F9-4926-B67B-2B7795AFE713}" name="Valor Producto" dataDxfId="16"/>
  </tableColumns>
  <tableStyleInfo name="TableStyleLight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F025258-98CE-48FC-B052-8F786815A6B8}" name="Tabla21" displayName="Tabla21" ref="J6:J9" totalsRowShown="0" headerRowDxfId="15" dataDxfId="14">
  <autoFilter ref="J6:J9" xr:uid="{0F025258-98CE-48FC-B052-8F786815A6B8}">
    <filterColumn colId="0" hiddenButton="1"/>
  </autoFilter>
  <tableColumns count="1">
    <tableColumn id="1" xr3:uid="{23CDA593-55E3-4CB0-8E56-2187495B6A4A}" name="Gen" dataDxfId="13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BC3ADF5-DD49-4CAF-A85E-1281CEE3A2F0}" name="Tabla22" displayName="Tabla22" ref="J11:J13" totalsRowShown="0" headerRowDxfId="12" dataDxfId="11">
  <autoFilter ref="J11:J13" xr:uid="{9BC3ADF5-DD49-4CAF-A85E-1281CEE3A2F0}">
    <filterColumn colId="0" hiddenButton="1"/>
  </autoFilter>
  <tableColumns count="1">
    <tableColumn id="1" xr3:uid="{15585B56-B0A8-4421-8565-14E55FBCFB25}" name="AT" dataDxfId="10"/>
  </tableColumns>
  <tableStyleInfo name="TableStyleMedium1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ED20F19-149B-40A4-BC3C-14C35331C079}" name="Tabla25" displayName="Tabla25" ref="AJ3:AK9" totalsRowShown="0" headerRowDxfId="9" dataDxfId="8">
  <autoFilter ref="AJ3:AK9" xr:uid="{1ED20F19-149B-40A4-BC3C-14C35331C079}">
    <filterColumn colId="0" hiddenButton="1"/>
    <filterColumn colId="1" hiddenButton="1"/>
  </autoFilter>
  <tableColumns count="2">
    <tableColumn id="1" xr3:uid="{F8FD012B-6A72-49BB-9429-1DC707096BBF}" name="Color" dataDxfId="7"/>
    <tableColumn id="2" xr3:uid="{4DF44C2C-0F6A-4F75-8935-D27BC0BE8FA4}" name="Valor" dataDxfId="6"/>
  </tableColumns>
  <tableStyleInfo name="TableStyleLight10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1A047EB-98BC-49E4-8547-F2AC4243BE63}" name="Tabla26" displayName="Tabla26" ref="AJ12:AK16" totalsRowShown="0" headerRowDxfId="5">
  <autoFilter ref="AJ12:AK16" xr:uid="{51A047EB-98BC-49E4-8547-F2AC4243BE63}">
    <filterColumn colId="0" hiddenButton="1"/>
    <filterColumn colId="1" hiddenButton="1"/>
  </autoFilter>
  <tableColumns count="2">
    <tableColumn id="1" xr3:uid="{A43EE434-DC3C-4B56-B987-4B59A859452A}" name="Concepto" dataDxfId="4"/>
    <tableColumn id="2" xr3:uid="{232666E3-ACAE-4E8C-9566-D1BE54BAC114}" name="Valor" dataDxfId="3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4909E0-1550-4F94-8DFC-A04042D1AF20}" name="Tabla15" displayName="Tabla15" ref="J16:J25" totalsRowShown="0" headerRowDxfId="2" dataDxfId="1">
  <autoFilter ref="J16:J25" xr:uid="{4B4909E0-1550-4F94-8DFC-A04042D1AF20}">
    <filterColumn colId="0" hiddenButton="1"/>
  </autoFilter>
  <tableColumns count="1">
    <tableColumn id="1" xr3:uid="{BBC59953-960E-4A99-A51F-E439A426A1DF}" name="Presentac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3602-AC5A-4B44-80E4-92D5FC74CD2C}">
  <dimension ref="B1:U23"/>
  <sheetViews>
    <sheetView showGridLines="0" tabSelected="1" zoomScale="50" zoomScaleNormal="50" workbookViewId="0">
      <selection activeCell="C16" sqref="C16"/>
    </sheetView>
  </sheetViews>
  <sheetFormatPr baseColWidth="10" defaultRowHeight="15.6" x14ac:dyDescent="0.3"/>
  <cols>
    <col min="1" max="1" width="11.5546875" style="21"/>
    <col min="2" max="2" width="48.77734375" style="43" bestFit="1" customWidth="1"/>
    <col min="3" max="3" width="31.88671875" style="21" bestFit="1" customWidth="1"/>
    <col min="4" max="4" width="23.88671875" style="21" bestFit="1" customWidth="1"/>
    <col min="5" max="5" width="49.21875" style="21" bestFit="1" customWidth="1"/>
    <col min="6" max="6" width="33.21875" style="21" customWidth="1"/>
    <col min="7" max="7" width="33.21875" style="21" bestFit="1" customWidth="1"/>
    <col min="8" max="9" width="23.33203125" style="21" bestFit="1" customWidth="1"/>
    <col min="10" max="10" width="28.109375" style="21" bestFit="1" customWidth="1"/>
    <col min="11" max="12" width="27.88671875" style="21" bestFit="1" customWidth="1"/>
    <col min="13" max="13" width="26.5546875" style="21" bestFit="1" customWidth="1"/>
    <col min="14" max="14" width="19.88671875" style="21" bestFit="1" customWidth="1"/>
    <col min="15" max="15" width="20.6640625" style="21" customWidth="1"/>
    <col min="16" max="17" width="24.6640625" style="21" customWidth="1"/>
    <col min="18" max="18" width="18.6640625" style="21" bestFit="1" customWidth="1"/>
    <col min="19" max="20" width="16.44140625" style="21" bestFit="1" customWidth="1"/>
    <col min="21" max="21" width="57.5546875" style="21" customWidth="1"/>
    <col min="22" max="16384" width="11.5546875" style="21"/>
  </cols>
  <sheetData>
    <row r="1" spans="2:21" s="22" customFormat="1" ht="218.4" customHeight="1" x14ac:dyDescent="0.25">
      <c r="B1" s="44" t="s">
        <v>41</v>
      </c>
      <c r="C1" s="44" t="s">
        <v>82</v>
      </c>
      <c r="D1" s="44" t="s">
        <v>83</v>
      </c>
      <c r="E1" s="44" t="s">
        <v>84</v>
      </c>
      <c r="F1" s="44" t="s">
        <v>85</v>
      </c>
      <c r="G1" s="44" t="s">
        <v>86</v>
      </c>
      <c r="H1" s="44" t="s">
        <v>87</v>
      </c>
      <c r="I1" s="44" t="s">
        <v>88</v>
      </c>
      <c r="J1" s="44" t="s">
        <v>89</v>
      </c>
      <c r="K1" s="44" t="s">
        <v>90</v>
      </c>
      <c r="L1" s="44" t="s">
        <v>67</v>
      </c>
      <c r="M1" s="44" t="s">
        <v>47</v>
      </c>
      <c r="N1" s="44" t="s">
        <v>44</v>
      </c>
      <c r="O1" s="44" t="s">
        <v>59</v>
      </c>
      <c r="P1" s="44" t="s">
        <v>60</v>
      </c>
      <c r="Q1" s="44" t="s">
        <v>109</v>
      </c>
      <c r="R1" s="44" t="s">
        <v>43</v>
      </c>
      <c r="S1" s="44" t="s">
        <v>36</v>
      </c>
      <c r="T1" s="44" t="s">
        <v>40</v>
      </c>
      <c r="U1" s="44" t="s">
        <v>50</v>
      </c>
    </row>
    <row r="2" spans="2:21" s="23" customFormat="1" ht="60.6" customHeight="1" x14ac:dyDescent="0.25">
      <c r="B2" s="24" t="s">
        <v>65</v>
      </c>
      <c r="C2" s="25" t="s">
        <v>91</v>
      </c>
      <c r="D2" s="25" t="s">
        <v>91</v>
      </c>
      <c r="E2" s="25" t="s">
        <v>91</v>
      </c>
      <c r="F2" s="25" t="s">
        <v>91</v>
      </c>
      <c r="G2" s="25" t="s">
        <v>91</v>
      </c>
      <c r="H2" s="25" t="s">
        <v>91</v>
      </c>
      <c r="I2" s="25" t="s">
        <v>91</v>
      </c>
      <c r="J2" s="25" t="s">
        <v>91</v>
      </c>
      <c r="K2" s="25" t="s">
        <v>91</v>
      </c>
      <c r="L2" s="25" t="s">
        <v>91</v>
      </c>
      <c r="M2" s="25" t="s">
        <v>91</v>
      </c>
      <c r="N2" s="25" t="s">
        <v>91</v>
      </c>
      <c r="O2" s="25" t="s">
        <v>91</v>
      </c>
      <c r="P2" s="25" t="s">
        <v>91</v>
      </c>
      <c r="Q2" s="25" t="s">
        <v>91</v>
      </c>
      <c r="R2" s="25" t="s">
        <v>91</v>
      </c>
      <c r="S2" s="25" t="s">
        <v>91</v>
      </c>
      <c r="T2" s="25" t="s">
        <v>91</v>
      </c>
      <c r="U2" s="26" t="s">
        <v>91</v>
      </c>
    </row>
    <row r="3" spans="2:21" s="23" customFormat="1" ht="60.6" customHeight="1" x14ac:dyDescent="0.25">
      <c r="B3" s="27" t="s">
        <v>112</v>
      </c>
      <c r="C3" s="28">
        <v>0</v>
      </c>
      <c r="D3" s="28">
        <v>0</v>
      </c>
      <c r="E3" s="28" t="s">
        <v>91</v>
      </c>
      <c r="F3" s="28">
        <v>10</v>
      </c>
      <c r="G3" s="28" t="s">
        <v>91</v>
      </c>
      <c r="H3" s="28">
        <v>8</v>
      </c>
      <c r="I3" s="28" t="s">
        <v>91</v>
      </c>
      <c r="J3" s="28" t="s">
        <v>91</v>
      </c>
      <c r="K3" s="28">
        <v>8</v>
      </c>
      <c r="L3" s="28">
        <v>8</v>
      </c>
      <c r="M3" s="28">
        <v>10</v>
      </c>
      <c r="N3" s="28">
        <v>8</v>
      </c>
      <c r="O3" s="28">
        <v>0</v>
      </c>
      <c r="P3" s="28">
        <v>8</v>
      </c>
      <c r="Q3" s="28">
        <v>10</v>
      </c>
      <c r="R3" s="28" t="s">
        <v>91</v>
      </c>
      <c r="S3" s="28">
        <v>30</v>
      </c>
      <c r="T3" s="28"/>
      <c r="U3" s="29" t="s">
        <v>48</v>
      </c>
    </row>
    <row r="4" spans="2:21" s="23" customFormat="1" ht="60.6" customHeight="1" x14ac:dyDescent="0.25">
      <c r="B4" s="20" t="s">
        <v>113</v>
      </c>
      <c r="C4" s="30">
        <v>0</v>
      </c>
      <c r="D4" s="30">
        <v>0</v>
      </c>
      <c r="E4" s="30" t="s">
        <v>91</v>
      </c>
      <c r="F4" s="30">
        <v>9</v>
      </c>
      <c r="G4" s="30" t="s">
        <v>91</v>
      </c>
      <c r="H4" s="30">
        <v>6</v>
      </c>
      <c r="I4" s="30" t="s">
        <v>91</v>
      </c>
      <c r="J4" s="30" t="s">
        <v>91</v>
      </c>
      <c r="K4" s="30">
        <v>6</v>
      </c>
      <c r="L4" s="30" t="s">
        <v>91</v>
      </c>
      <c r="M4" s="30">
        <v>9</v>
      </c>
      <c r="N4" s="30">
        <v>6</v>
      </c>
      <c r="O4" s="30">
        <v>0</v>
      </c>
      <c r="P4" s="30">
        <v>6</v>
      </c>
      <c r="Q4" s="30">
        <v>9</v>
      </c>
      <c r="R4" s="30" t="s">
        <v>91</v>
      </c>
      <c r="S4" s="30">
        <v>30</v>
      </c>
      <c r="T4" s="30"/>
      <c r="U4" s="31" t="s">
        <v>49</v>
      </c>
    </row>
    <row r="5" spans="2:21" s="23" customFormat="1" ht="60.6" customHeight="1" x14ac:dyDescent="0.25">
      <c r="B5" s="27" t="s">
        <v>114</v>
      </c>
      <c r="C5" s="28">
        <v>0</v>
      </c>
      <c r="D5" s="28">
        <v>0</v>
      </c>
      <c r="E5" s="28">
        <v>9</v>
      </c>
      <c r="F5" s="28" t="s">
        <v>91</v>
      </c>
      <c r="G5" s="28" t="s">
        <v>91</v>
      </c>
      <c r="H5" s="28">
        <v>8</v>
      </c>
      <c r="I5" s="28" t="s">
        <v>91</v>
      </c>
      <c r="J5" s="28" t="s">
        <v>91</v>
      </c>
      <c r="K5" s="28">
        <v>8</v>
      </c>
      <c r="L5" s="28" t="s">
        <v>91</v>
      </c>
      <c r="M5" s="28">
        <v>10</v>
      </c>
      <c r="N5" s="28">
        <v>8</v>
      </c>
      <c r="O5" s="28">
        <v>0</v>
      </c>
      <c r="P5" s="28">
        <v>8</v>
      </c>
      <c r="Q5" s="28">
        <v>10</v>
      </c>
      <c r="R5" s="28" t="s">
        <v>91</v>
      </c>
      <c r="S5" s="28">
        <v>30</v>
      </c>
      <c r="T5" s="28"/>
      <c r="U5" s="29" t="s">
        <v>51</v>
      </c>
    </row>
    <row r="6" spans="2:21" s="23" customFormat="1" ht="60.6" customHeight="1" x14ac:dyDescent="0.25">
      <c r="B6" s="20" t="s">
        <v>115</v>
      </c>
      <c r="C6" s="30" t="s">
        <v>91</v>
      </c>
      <c r="D6" s="30" t="s">
        <v>91</v>
      </c>
      <c r="E6" s="30" t="s">
        <v>91</v>
      </c>
      <c r="F6" s="30">
        <v>0</v>
      </c>
      <c r="G6" s="30">
        <v>9</v>
      </c>
      <c r="H6" s="30">
        <v>7</v>
      </c>
      <c r="I6" s="30" t="s">
        <v>91</v>
      </c>
      <c r="J6" s="30" t="s">
        <v>91</v>
      </c>
      <c r="K6" s="30" t="s">
        <v>91</v>
      </c>
      <c r="L6" s="30" t="s">
        <v>91</v>
      </c>
      <c r="M6" s="30">
        <v>10</v>
      </c>
      <c r="N6" s="30" t="s">
        <v>91</v>
      </c>
      <c r="O6" s="30">
        <v>0</v>
      </c>
      <c r="P6" s="30" t="s">
        <v>91</v>
      </c>
      <c r="Q6" s="30">
        <v>10</v>
      </c>
      <c r="R6" s="30" t="s">
        <v>91</v>
      </c>
      <c r="S6" s="30">
        <v>30</v>
      </c>
      <c r="T6" s="30"/>
      <c r="U6" s="31" t="s">
        <v>52</v>
      </c>
    </row>
    <row r="7" spans="2:21" s="23" customFormat="1" ht="60.6" customHeight="1" x14ac:dyDescent="0.25">
      <c r="B7" s="27" t="s">
        <v>116</v>
      </c>
      <c r="C7" s="28" t="s">
        <v>91</v>
      </c>
      <c r="D7" s="28" t="s">
        <v>91</v>
      </c>
      <c r="E7" s="28" t="s">
        <v>91</v>
      </c>
      <c r="F7" s="28">
        <v>0</v>
      </c>
      <c r="G7" s="28">
        <v>9</v>
      </c>
      <c r="H7" s="28">
        <v>7</v>
      </c>
      <c r="I7" s="28" t="s">
        <v>91</v>
      </c>
      <c r="J7" s="28" t="s">
        <v>91</v>
      </c>
      <c r="K7" s="28" t="s">
        <v>91</v>
      </c>
      <c r="L7" s="28" t="s">
        <v>91</v>
      </c>
      <c r="M7" s="28">
        <v>9</v>
      </c>
      <c r="N7" s="28" t="s">
        <v>91</v>
      </c>
      <c r="O7" s="28">
        <v>0</v>
      </c>
      <c r="P7" s="28" t="s">
        <v>91</v>
      </c>
      <c r="Q7" s="28">
        <v>9</v>
      </c>
      <c r="R7" s="28" t="s">
        <v>91</v>
      </c>
      <c r="S7" s="28">
        <v>30</v>
      </c>
      <c r="T7" s="28"/>
      <c r="U7" s="29" t="s">
        <v>53</v>
      </c>
    </row>
    <row r="8" spans="2:21" s="23" customFormat="1" ht="60.6" customHeight="1" x14ac:dyDescent="0.25">
      <c r="B8" s="20" t="s">
        <v>117</v>
      </c>
      <c r="C8" s="30" t="s">
        <v>91</v>
      </c>
      <c r="D8" s="30">
        <v>8</v>
      </c>
      <c r="E8" s="30" t="s">
        <v>91</v>
      </c>
      <c r="F8" s="30">
        <v>0</v>
      </c>
      <c r="G8" s="30" t="s">
        <v>91</v>
      </c>
      <c r="H8" s="30">
        <v>7</v>
      </c>
      <c r="I8" s="30" t="s">
        <v>91</v>
      </c>
      <c r="J8" s="30" t="s">
        <v>91</v>
      </c>
      <c r="K8" s="30" t="s">
        <v>91</v>
      </c>
      <c r="L8" s="30" t="s">
        <v>91</v>
      </c>
      <c r="M8" s="30">
        <v>9</v>
      </c>
      <c r="N8" s="30" t="s">
        <v>91</v>
      </c>
      <c r="O8" s="30">
        <v>0</v>
      </c>
      <c r="P8" s="30" t="s">
        <v>91</v>
      </c>
      <c r="Q8" s="30">
        <v>9</v>
      </c>
      <c r="R8" s="30" t="s">
        <v>91</v>
      </c>
      <c r="S8" s="30">
        <v>30</v>
      </c>
      <c r="T8" s="30"/>
      <c r="U8" s="31" t="s">
        <v>110</v>
      </c>
    </row>
    <row r="9" spans="2:21" s="23" customFormat="1" ht="60.6" customHeight="1" x14ac:dyDescent="0.25">
      <c r="B9" s="27" t="s">
        <v>118</v>
      </c>
      <c r="C9" s="28" t="s">
        <v>91</v>
      </c>
      <c r="D9" s="28" t="s">
        <v>91</v>
      </c>
      <c r="E9" s="28" t="s">
        <v>91</v>
      </c>
      <c r="F9" s="28">
        <v>0</v>
      </c>
      <c r="G9" s="28">
        <v>9</v>
      </c>
      <c r="H9" s="28">
        <v>-26</v>
      </c>
      <c r="I9" s="28">
        <v>-12</v>
      </c>
      <c r="J9" s="28">
        <v>7</v>
      </c>
      <c r="K9" s="28" t="s">
        <v>91</v>
      </c>
      <c r="L9" s="28" t="s">
        <v>91</v>
      </c>
      <c r="M9" s="28">
        <v>10</v>
      </c>
      <c r="N9" s="28" t="s">
        <v>91</v>
      </c>
      <c r="O9" s="28">
        <v>0</v>
      </c>
      <c r="P9" s="28" t="s">
        <v>91</v>
      </c>
      <c r="Q9" s="28">
        <v>10</v>
      </c>
      <c r="R9" s="28" t="s">
        <v>91</v>
      </c>
      <c r="S9" s="28">
        <v>30</v>
      </c>
      <c r="T9" s="28"/>
      <c r="U9" s="29" t="s">
        <v>56</v>
      </c>
    </row>
    <row r="10" spans="2:21" s="23" customFormat="1" ht="60.6" customHeight="1" x14ac:dyDescent="0.25">
      <c r="B10" s="20" t="s">
        <v>119</v>
      </c>
      <c r="C10" s="30" t="s">
        <v>91</v>
      </c>
      <c r="D10" s="30" t="s">
        <v>91</v>
      </c>
      <c r="E10" s="30" t="s">
        <v>91</v>
      </c>
      <c r="F10" s="30">
        <v>0</v>
      </c>
      <c r="G10" s="30" t="s">
        <v>91</v>
      </c>
      <c r="H10" s="30">
        <v>7</v>
      </c>
      <c r="I10" s="30" t="s">
        <v>91</v>
      </c>
      <c r="J10" s="30" t="s">
        <v>91</v>
      </c>
      <c r="K10" s="30" t="s">
        <v>91</v>
      </c>
      <c r="L10" s="30" t="s">
        <v>91</v>
      </c>
      <c r="M10" s="30">
        <v>8</v>
      </c>
      <c r="N10" s="30" t="s">
        <v>91</v>
      </c>
      <c r="O10" s="30">
        <v>0</v>
      </c>
      <c r="P10" s="30" t="s">
        <v>91</v>
      </c>
      <c r="Q10" s="30">
        <v>8</v>
      </c>
      <c r="R10" s="30" t="s">
        <v>91</v>
      </c>
      <c r="S10" s="30">
        <v>30</v>
      </c>
      <c r="T10" s="30"/>
      <c r="U10" s="31" t="s">
        <v>56</v>
      </c>
    </row>
    <row r="11" spans="2:21" s="23" customFormat="1" ht="60.6" customHeight="1" x14ac:dyDescent="0.25">
      <c r="B11" s="27" t="s">
        <v>120</v>
      </c>
      <c r="C11" s="28">
        <v>0</v>
      </c>
      <c r="D11" s="28" t="s">
        <v>91</v>
      </c>
      <c r="E11" s="28" t="s">
        <v>91</v>
      </c>
      <c r="F11" s="28">
        <v>0</v>
      </c>
      <c r="G11" s="28">
        <v>8</v>
      </c>
      <c r="H11" s="28">
        <v>7</v>
      </c>
      <c r="I11" s="28" t="s">
        <v>91</v>
      </c>
      <c r="J11" s="28" t="s">
        <v>91</v>
      </c>
      <c r="K11" s="28" t="s">
        <v>91</v>
      </c>
      <c r="L11" s="28" t="s">
        <v>91</v>
      </c>
      <c r="M11" s="28">
        <v>8</v>
      </c>
      <c r="N11" s="28" t="s">
        <v>91</v>
      </c>
      <c r="O11" s="28">
        <v>0</v>
      </c>
      <c r="P11" s="28">
        <v>7</v>
      </c>
      <c r="Q11" s="28">
        <v>8</v>
      </c>
      <c r="R11" s="28" t="s">
        <v>91</v>
      </c>
      <c r="S11" s="28">
        <v>30</v>
      </c>
      <c r="T11" s="28"/>
      <c r="U11" s="29" t="s">
        <v>54</v>
      </c>
    </row>
    <row r="12" spans="2:21" s="23" customFormat="1" ht="60.6" customHeight="1" x14ac:dyDescent="0.25">
      <c r="B12" s="20" t="s">
        <v>121</v>
      </c>
      <c r="C12" s="30">
        <v>0</v>
      </c>
      <c r="D12" s="30">
        <v>0</v>
      </c>
      <c r="E12" s="30" t="s">
        <v>91</v>
      </c>
      <c r="F12" s="30">
        <v>8</v>
      </c>
      <c r="G12" s="30" t="s">
        <v>91</v>
      </c>
      <c r="H12" s="30">
        <v>7</v>
      </c>
      <c r="I12" s="30" t="s">
        <v>91</v>
      </c>
      <c r="J12" s="30" t="s">
        <v>91</v>
      </c>
      <c r="K12" s="30" t="s">
        <v>91</v>
      </c>
      <c r="L12" s="30" t="s">
        <v>91</v>
      </c>
      <c r="M12" s="30">
        <v>8</v>
      </c>
      <c r="N12" s="30" t="s">
        <v>91</v>
      </c>
      <c r="O12" s="30">
        <v>0</v>
      </c>
      <c r="P12" s="30">
        <v>7</v>
      </c>
      <c r="Q12" s="30">
        <v>8</v>
      </c>
      <c r="R12" s="30" t="s">
        <v>91</v>
      </c>
      <c r="S12" s="30">
        <v>30</v>
      </c>
      <c r="T12" s="30"/>
      <c r="U12" s="31" t="s">
        <v>54</v>
      </c>
    </row>
    <row r="13" spans="2:21" s="23" customFormat="1" ht="60.6" customHeight="1" x14ac:dyDescent="0.25">
      <c r="B13" s="27" t="s">
        <v>122</v>
      </c>
      <c r="C13" s="28" t="s">
        <v>91</v>
      </c>
      <c r="D13" s="28" t="s">
        <v>91</v>
      </c>
      <c r="E13" s="28" t="s">
        <v>91</v>
      </c>
      <c r="F13" s="28" t="s">
        <v>91</v>
      </c>
      <c r="G13" s="28" t="s">
        <v>91</v>
      </c>
      <c r="H13" s="28">
        <v>0</v>
      </c>
      <c r="I13" s="28">
        <v>11</v>
      </c>
      <c r="J13" s="28" t="s">
        <v>91</v>
      </c>
      <c r="K13" s="28" t="s">
        <v>91</v>
      </c>
      <c r="L13" s="28" t="s">
        <v>91</v>
      </c>
      <c r="M13" s="28">
        <v>2</v>
      </c>
      <c r="N13" s="28" t="s">
        <v>91</v>
      </c>
      <c r="O13" s="28">
        <v>0</v>
      </c>
      <c r="P13" s="28" t="s">
        <v>91</v>
      </c>
      <c r="Q13" s="28">
        <v>2</v>
      </c>
      <c r="R13" s="28" t="s">
        <v>91</v>
      </c>
      <c r="S13" s="28">
        <v>30</v>
      </c>
      <c r="T13" s="28"/>
      <c r="U13" s="29" t="s">
        <v>55</v>
      </c>
    </row>
    <row r="14" spans="2:21" s="23" customFormat="1" ht="60.6" customHeight="1" x14ac:dyDescent="0.25">
      <c r="B14" s="20" t="s">
        <v>106</v>
      </c>
      <c r="C14" s="30" t="s">
        <v>91</v>
      </c>
      <c r="D14" s="30" t="s">
        <v>91</v>
      </c>
      <c r="E14" s="30" t="s">
        <v>91</v>
      </c>
      <c r="F14" s="30">
        <v>0</v>
      </c>
      <c r="G14" s="30" t="s">
        <v>91</v>
      </c>
      <c r="H14" s="30">
        <v>7</v>
      </c>
      <c r="I14" s="30" t="s">
        <v>91</v>
      </c>
      <c r="J14" s="30" t="s">
        <v>91</v>
      </c>
      <c r="K14" s="30" t="s">
        <v>91</v>
      </c>
      <c r="L14" s="30" t="s">
        <v>91</v>
      </c>
      <c r="M14" s="30">
        <v>9</v>
      </c>
      <c r="N14" s="30" t="s">
        <v>91</v>
      </c>
      <c r="O14" s="30">
        <v>0</v>
      </c>
      <c r="P14" s="30" t="s">
        <v>91</v>
      </c>
      <c r="Q14" s="30">
        <v>9</v>
      </c>
      <c r="R14" s="30" t="s">
        <v>91</v>
      </c>
      <c r="S14" s="30">
        <v>30</v>
      </c>
      <c r="T14" s="30"/>
      <c r="U14" s="31" t="s">
        <v>57</v>
      </c>
    </row>
    <row r="15" spans="2:21" s="23" customFormat="1" ht="60.6" customHeight="1" x14ac:dyDescent="0.25">
      <c r="B15" s="27" t="s">
        <v>107</v>
      </c>
      <c r="C15" s="28" t="s">
        <v>91</v>
      </c>
      <c r="D15" s="28">
        <v>8</v>
      </c>
      <c r="E15" s="28" t="s">
        <v>91</v>
      </c>
      <c r="F15" s="28">
        <v>0</v>
      </c>
      <c r="G15" s="28" t="s">
        <v>91</v>
      </c>
      <c r="H15" s="28">
        <v>7</v>
      </c>
      <c r="I15" s="28" t="s">
        <v>91</v>
      </c>
      <c r="J15" s="28" t="s">
        <v>91</v>
      </c>
      <c r="K15" s="28" t="s">
        <v>91</v>
      </c>
      <c r="L15" s="28" t="s">
        <v>91</v>
      </c>
      <c r="M15" s="28">
        <v>9</v>
      </c>
      <c r="N15" s="28" t="s">
        <v>91</v>
      </c>
      <c r="O15" s="28">
        <v>0</v>
      </c>
      <c r="P15" s="28" t="s">
        <v>91</v>
      </c>
      <c r="Q15" s="28">
        <v>9</v>
      </c>
      <c r="R15" s="28" t="s">
        <v>91</v>
      </c>
      <c r="S15" s="28">
        <v>30</v>
      </c>
      <c r="T15" s="28"/>
      <c r="U15" s="29" t="s">
        <v>57</v>
      </c>
    </row>
    <row r="16" spans="2:21" s="23" customFormat="1" ht="60.6" customHeight="1" x14ac:dyDescent="0.25">
      <c r="B16" s="20" t="s">
        <v>108</v>
      </c>
      <c r="C16" s="30">
        <v>0</v>
      </c>
      <c r="D16" s="30" t="s">
        <v>91</v>
      </c>
      <c r="E16" s="30" t="s">
        <v>91</v>
      </c>
      <c r="F16" s="30">
        <v>0</v>
      </c>
      <c r="G16" s="30" t="s">
        <v>91</v>
      </c>
      <c r="H16" s="30">
        <v>7</v>
      </c>
      <c r="I16" s="30" t="s">
        <v>91</v>
      </c>
      <c r="J16" s="30" t="s">
        <v>91</v>
      </c>
      <c r="K16" s="30" t="s">
        <v>91</v>
      </c>
      <c r="L16" s="30" t="s">
        <v>91</v>
      </c>
      <c r="M16" s="30">
        <v>9</v>
      </c>
      <c r="N16" s="30">
        <v>8</v>
      </c>
      <c r="O16" s="30">
        <v>0</v>
      </c>
      <c r="P16" s="30">
        <v>7</v>
      </c>
      <c r="Q16" s="30">
        <v>9</v>
      </c>
      <c r="R16" s="30" t="s">
        <v>91</v>
      </c>
      <c r="S16" s="30">
        <v>30</v>
      </c>
      <c r="T16" s="30"/>
      <c r="U16" s="31" t="s">
        <v>57</v>
      </c>
    </row>
    <row r="17" spans="2:21" s="23" customFormat="1" ht="60.6" customHeight="1" x14ac:dyDescent="0.25">
      <c r="B17" s="27" t="s">
        <v>104</v>
      </c>
      <c r="C17" s="28">
        <v>0</v>
      </c>
      <c r="D17" s="28">
        <v>0</v>
      </c>
      <c r="E17" s="28">
        <v>9</v>
      </c>
      <c r="F17" s="28" t="s">
        <v>91</v>
      </c>
      <c r="G17" s="28" t="s">
        <v>91</v>
      </c>
      <c r="H17" s="28">
        <v>5</v>
      </c>
      <c r="I17" s="28" t="s">
        <v>91</v>
      </c>
      <c r="J17" s="28" t="s">
        <v>91</v>
      </c>
      <c r="K17" s="28">
        <v>5</v>
      </c>
      <c r="L17" s="28" t="s">
        <v>91</v>
      </c>
      <c r="M17" s="28">
        <v>10</v>
      </c>
      <c r="N17" s="28">
        <v>8</v>
      </c>
      <c r="O17" s="28">
        <v>0</v>
      </c>
      <c r="P17" s="28">
        <v>5</v>
      </c>
      <c r="Q17" s="28">
        <v>18</v>
      </c>
      <c r="R17" s="28">
        <v>10</v>
      </c>
      <c r="S17" s="28">
        <v>30</v>
      </c>
      <c r="T17" s="28"/>
      <c r="U17" s="29" t="s">
        <v>58</v>
      </c>
    </row>
    <row r="18" spans="2:21" s="23" customFormat="1" ht="60.6" customHeight="1" x14ac:dyDescent="0.25">
      <c r="B18" s="20" t="s">
        <v>105</v>
      </c>
      <c r="C18" s="30">
        <v>0</v>
      </c>
      <c r="D18" s="30">
        <v>0</v>
      </c>
      <c r="E18" s="30" t="s">
        <v>91</v>
      </c>
      <c r="F18" s="30" t="s">
        <v>91</v>
      </c>
      <c r="G18" s="30" t="s">
        <v>91</v>
      </c>
      <c r="H18" s="30">
        <v>8</v>
      </c>
      <c r="I18" s="30" t="s">
        <v>91</v>
      </c>
      <c r="J18" s="30" t="s">
        <v>91</v>
      </c>
      <c r="K18" s="30">
        <v>8</v>
      </c>
      <c r="L18" s="30">
        <v>8</v>
      </c>
      <c r="M18" s="30">
        <v>9</v>
      </c>
      <c r="N18" s="30">
        <v>8</v>
      </c>
      <c r="O18" s="30">
        <v>0</v>
      </c>
      <c r="P18" s="30">
        <v>8</v>
      </c>
      <c r="Q18" s="30">
        <v>17</v>
      </c>
      <c r="R18" s="30">
        <v>9</v>
      </c>
      <c r="S18" s="30">
        <v>30</v>
      </c>
      <c r="T18" s="30"/>
      <c r="U18" s="31" t="s">
        <v>58</v>
      </c>
    </row>
    <row r="19" spans="2:21" ht="60.6" customHeight="1" x14ac:dyDescent="0.3">
      <c r="B19" s="27" t="s">
        <v>102</v>
      </c>
      <c r="C19" s="28">
        <v>32</v>
      </c>
      <c r="D19" s="28">
        <v>32</v>
      </c>
      <c r="E19" s="28" t="s">
        <v>91</v>
      </c>
      <c r="F19" s="28">
        <v>42</v>
      </c>
      <c r="G19" s="28" t="s">
        <v>91</v>
      </c>
      <c r="H19" s="28">
        <v>40</v>
      </c>
      <c r="I19" s="28" t="s">
        <v>91</v>
      </c>
      <c r="J19" s="28" t="s">
        <v>91</v>
      </c>
      <c r="K19" s="28">
        <v>40</v>
      </c>
      <c r="L19" s="28">
        <v>40</v>
      </c>
      <c r="M19" s="28">
        <v>42</v>
      </c>
      <c r="N19" s="28">
        <v>40</v>
      </c>
      <c r="O19" s="28">
        <v>32</v>
      </c>
      <c r="P19" s="28">
        <v>40</v>
      </c>
      <c r="Q19" s="28">
        <v>42</v>
      </c>
      <c r="R19" s="28" t="s">
        <v>91</v>
      </c>
      <c r="S19" s="28">
        <v>30</v>
      </c>
      <c r="T19" s="28"/>
      <c r="U19" s="29" t="s">
        <v>111</v>
      </c>
    </row>
    <row r="20" spans="2:21" ht="60.6" customHeight="1" x14ac:dyDescent="0.3">
      <c r="B20" s="20" t="s">
        <v>103</v>
      </c>
      <c r="C20" s="30">
        <v>64</v>
      </c>
      <c r="D20" s="30">
        <v>64</v>
      </c>
      <c r="E20" s="30" t="s">
        <v>91</v>
      </c>
      <c r="F20" s="30">
        <v>74</v>
      </c>
      <c r="G20" s="30" t="s">
        <v>91</v>
      </c>
      <c r="H20" s="30">
        <v>72</v>
      </c>
      <c r="I20" s="30" t="s">
        <v>91</v>
      </c>
      <c r="J20" s="30" t="s">
        <v>91</v>
      </c>
      <c r="K20" s="30">
        <v>72</v>
      </c>
      <c r="L20" s="30">
        <v>72</v>
      </c>
      <c r="M20" s="30">
        <v>74</v>
      </c>
      <c r="N20" s="30">
        <v>72</v>
      </c>
      <c r="O20" s="30">
        <v>64</v>
      </c>
      <c r="P20" s="30">
        <v>72</v>
      </c>
      <c r="Q20" s="30">
        <v>74</v>
      </c>
      <c r="R20" s="30" t="s">
        <v>91</v>
      </c>
      <c r="S20" s="30">
        <v>30</v>
      </c>
      <c r="T20" s="30"/>
      <c r="U20" s="31" t="s">
        <v>111</v>
      </c>
    </row>
    <row r="21" spans="2:21" ht="58.8" customHeight="1" x14ac:dyDescent="0.4">
      <c r="B21" s="32"/>
      <c r="C21" s="33"/>
      <c r="D21" s="34"/>
      <c r="E21" s="35"/>
      <c r="F21" s="36"/>
      <c r="G21" s="37"/>
      <c r="H21" s="38"/>
      <c r="O21" s="39"/>
      <c r="P21" s="39"/>
      <c r="Q21" s="39"/>
      <c r="R21" s="39"/>
      <c r="S21" s="39"/>
      <c r="T21" s="39"/>
      <c r="U21" s="40"/>
    </row>
    <row r="22" spans="2:21" ht="23.4" x14ac:dyDescent="0.3">
      <c r="B22" s="2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2"/>
    </row>
    <row r="23" spans="2:21" ht="23.4" x14ac:dyDescent="0.3">
      <c r="B23" s="21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40"/>
    </row>
  </sheetData>
  <sheetProtection sort="0" autoFilter="0"/>
  <phoneticPr fontId="3" type="noConversion"/>
  <dataValidations count="1">
    <dataValidation type="list" allowBlank="1" showInputMessage="1" showErrorMessage="1" sqref="C3:T20" xr:uid="{0247F160-D9DB-4743-83A9-4B4336077A66}">
      <formula1>diap</formula1>
    </dataValidation>
  </dataValidations>
  <pageMargins left="0.7" right="0.7" top="0.75" bottom="0.75" header="0.3" footer="0.3"/>
  <ignoredErrors>
    <ignoredError sqref="I9" listDataValidatio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594"/>
  <sheetViews>
    <sheetView showGridLines="0" topLeftCell="A101" workbookViewId="0">
      <selection activeCell="J114" sqref="J114"/>
    </sheetView>
  </sheetViews>
  <sheetFormatPr baseColWidth="10" defaultRowHeight="13.2" x14ac:dyDescent="0.25"/>
  <cols>
    <col min="1" max="1" width="1.5546875" customWidth="1"/>
    <col min="2" max="2" width="18.33203125" customWidth="1"/>
    <col min="3" max="3" width="1.44140625" customWidth="1"/>
    <col min="4" max="4" width="20" bestFit="1" customWidth="1"/>
    <col min="5" max="5" width="1.21875" customWidth="1"/>
    <col min="6" max="6" width="23.21875" customWidth="1"/>
    <col min="7" max="7" width="1.88671875" customWidth="1"/>
    <col min="8" max="8" width="7.88671875" bestFit="1" customWidth="1"/>
    <col min="9" max="9" width="1" customWidth="1"/>
    <col min="10" max="10" width="14.33203125" bestFit="1" customWidth="1"/>
    <col min="11" max="11" width="1.33203125" customWidth="1"/>
    <col min="12" max="12" width="10.77734375" bestFit="1" customWidth="1"/>
    <col min="13" max="13" width="1.77734375" customWidth="1"/>
    <col min="14" max="14" width="15.109375" style="14" bestFit="1" customWidth="1"/>
    <col min="15" max="15" width="2.109375" customWidth="1"/>
    <col min="16" max="16" width="11" bestFit="1" customWidth="1"/>
    <col min="17" max="17" width="1.5546875" customWidth="1"/>
    <col min="18" max="18" width="9.5546875" bestFit="1" customWidth="1"/>
    <col min="19" max="19" width="1.77734375" customWidth="1"/>
    <col min="20" max="20" width="9.5546875" style="1" bestFit="1" customWidth="1"/>
    <col min="21" max="21" width="1.88671875" customWidth="1"/>
    <col min="22" max="22" width="7.5546875" bestFit="1" customWidth="1"/>
    <col min="23" max="23" width="1.88671875" customWidth="1"/>
    <col min="25" max="25" width="1.77734375" customWidth="1"/>
    <col min="27" max="27" width="1.77734375" customWidth="1"/>
    <col min="29" max="29" width="2" customWidth="1"/>
    <col min="31" max="31" width="1.6640625" customWidth="1"/>
    <col min="33" max="33" width="3.88671875" customWidth="1"/>
    <col min="34" max="34" width="14" style="14" bestFit="1" customWidth="1"/>
    <col min="36" max="36" width="18.5546875" bestFit="1" customWidth="1"/>
    <col min="37" max="37" width="20.109375" bestFit="1" customWidth="1"/>
  </cols>
  <sheetData>
    <row r="1" spans="1:37" x14ac:dyDescent="0.25">
      <c r="N1"/>
      <c r="AH1"/>
    </row>
    <row r="2" spans="1:37" ht="46.8" x14ac:dyDescent="0.25">
      <c r="A2" s="11"/>
      <c r="B2" s="3" t="s">
        <v>7</v>
      </c>
      <c r="D2" s="3" t="s">
        <v>6</v>
      </c>
      <c r="F2" s="6" t="s">
        <v>29</v>
      </c>
      <c r="H2" s="3" t="s">
        <v>8</v>
      </c>
      <c r="J2" s="2" t="s">
        <v>9</v>
      </c>
      <c r="K2" s="2"/>
      <c r="L2" s="3" t="s">
        <v>0</v>
      </c>
      <c r="N2" s="3" t="s">
        <v>10</v>
      </c>
      <c r="P2" s="6" t="s">
        <v>4</v>
      </c>
      <c r="R2" s="6" t="s">
        <v>66</v>
      </c>
      <c r="T2" s="6" t="s">
        <v>3</v>
      </c>
      <c r="V2" s="6" t="s">
        <v>11</v>
      </c>
      <c r="X2" s="3" t="s">
        <v>12</v>
      </c>
      <c r="Z2" s="6" t="s">
        <v>5</v>
      </c>
      <c r="AB2" s="2" t="s">
        <v>13</v>
      </c>
      <c r="AC2" s="2"/>
      <c r="AD2" s="2" t="s">
        <v>14</v>
      </c>
      <c r="AE2" s="2"/>
      <c r="AF2" s="2" t="s">
        <v>15</v>
      </c>
      <c r="AH2" s="2" t="s">
        <v>28</v>
      </c>
      <c r="AJ2" s="46" t="s">
        <v>73</v>
      </c>
      <c r="AK2" s="46"/>
    </row>
    <row r="3" spans="1:37" ht="15.6" x14ac:dyDescent="0.25">
      <c r="A3" s="13"/>
      <c r="B3" s="4">
        <v>0</v>
      </c>
      <c r="D3" s="3">
        <v>0</v>
      </c>
      <c r="F3" s="6">
        <v>0</v>
      </c>
      <c r="H3" s="3">
        <v>0</v>
      </c>
      <c r="J3" s="1">
        <v>0</v>
      </c>
      <c r="K3" s="1"/>
      <c r="L3" s="3">
        <v>0</v>
      </c>
      <c r="N3" s="8">
        <v>0</v>
      </c>
      <c r="P3" s="7">
        <v>0</v>
      </c>
      <c r="R3" s="3">
        <v>0</v>
      </c>
      <c r="T3" s="3">
        <v>0</v>
      </c>
      <c r="V3" s="4">
        <v>0</v>
      </c>
      <c r="X3" s="8">
        <v>0</v>
      </c>
      <c r="Z3" s="3">
        <v>0</v>
      </c>
      <c r="AB3" s="1">
        <v>1</v>
      </c>
      <c r="AC3" s="1"/>
      <c r="AD3" s="2" t="s">
        <v>16</v>
      </c>
      <c r="AE3" s="2"/>
      <c r="AF3" s="1">
        <v>2024</v>
      </c>
      <c r="AH3" s="16">
        <v>0</v>
      </c>
      <c r="AJ3" s="19" t="s">
        <v>79</v>
      </c>
      <c r="AK3" s="19" t="s">
        <v>80</v>
      </c>
    </row>
    <row r="4" spans="1:37" ht="15.6" x14ac:dyDescent="0.25">
      <c r="B4" s="4">
        <v>0.3</v>
      </c>
      <c r="D4" s="3">
        <v>1</v>
      </c>
      <c r="F4" s="3">
        <v>1</v>
      </c>
      <c r="H4" s="3">
        <v>1</v>
      </c>
      <c r="J4" s="1">
        <v>1</v>
      </c>
      <c r="K4" s="1"/>
      <c r="L4" s="3">
        <v>2</v>
      </c>
      <c r="N4" s="8">
        <v>5000</v>
      </c>
      <c r="P4" s="7">
        <v>1000</v>
      </c>
      <c r="R4" s="3">
        <v>500</v>
      </c>
      <c r="T4" s="3">
        <v>150</v>
      </c>
      <c r="V4" s="4">
        <v>1</v>
      </c>
      <c r="X4" s="8">
        <v>5000</v>
      </c>
      <c r="Z4" s="3">
        <v>100</v>
      </c>
      <c r="AB4" s="1">
        <v>2</v>
      </c>
      <c r="AC4" s="1"/>
      <c r="AD4" s="2" t="s">
        <v>17</v>
      </c>
      <c r="AE4" s="2"/>
      <c r="AF4" s="1">
        <v>2025</v>
      </c>
      <c r="AH4" s="15">
        <v>5000</v>
      </c>
      <c r="AJ4" s="17" t="s">
        <v>68</v>
      </c>
      <c r="AK4" s="17">
        <v>20</v>
      </c>
    </row>
    <row r="5" spans="1:37" ht="15.6" x14ac:dyDescent="0.25">
      <c r="B5" s="4">
        <v>0.5</v>
      </c>
      <c r="D5" s="3">
        <v>2</v>
      </c>
      <c r="F5" s="3">
        <v>2</v>
      </c>
      <c r="H5" s="3">
        <v>2</v>
      </c>
      <c r="L5" s="3">
        <v>5</v>
      </c>
      <c r="N5" s="8">
        <v>5500</v>
      </c>
      <c r="P5" s="7">
        <v>1025</v>
      </c>
      <c r="R5" s="3">
        <v>525</v>
      </c>
      <c r="T5" s="3">
        <v>155</v>
      </c>
      <c r="V5" s="4">
        <v>1.5</v>
      </c>
      <c r="X5" s="8">
        <v>5050</v>
      </c>
      <c r="Z5" s="3">
        <v>105</v>
      </c>
      <c r="AB5" s="1">
        <v>3</v>
      </c>
      <c r="AC5" s="1"/>
      <c r="AD5" s="2" t="s">
        <v>18</v>
      </c>
      <c r="AE5" s="2"/>
      <c r="AF5" s="1">
        <v>2026</v>
      </c>
      <c r="AH5" s="15">
        <v>6000</v>
      </c>
      <c r="AJ5" s="17" t="s">
        <v>78</v>
      </c>
      <c r="AK5" s="17">
        <v>20</v>
      </c>
    </row>
    <row r="6" spans="1:37" ht="15.6" x14ac:dyDescent="0.25">
      <c r="B6" s="4">
        <v>0.6</v>
      </c>
      <c r="D6" s="3">
        <v>3</v>
      </c>
      <c r="F6" s="3">
        <v>3</v>
      </c>
      <c r="H6" s="3">
        <v>3</v>
      </c>
      <c r="J6" s="11" t="s">
        <v>63</v>
      </c>
      <c r="L6" s="3">
        <v>10</v>
      </c>
      <c r="N6" s="8">
        <v>6000</v>
      </c>
      <c r="P6" s="7">
        <v>1050</v>
      </c>
      <c r="R6" s="3">
        <v>550</v>
      </c>
      <c r="T6" s="3">
        <v>160</v>
      </c>
      <c r="V6" s="4">
        <v>2</v>
      </c>
      <c r="X6" s="8">
        <v>5100</v>
      </c>
      <c r="Z6" s="3">
        <v>110</v>
      </c>
      <c r="AB6" s="1">
        <v>4</v>
      </c>
      <c r="AC6" s="1"/>
      <c r="AD6" s="2" t="s">
        <v>19</v>
      </c>
      <c r="AE6" s="2"/>
      <c r="AF6" s="1">
        <v>2027</v>
      </c>
      <c r="AH6" s="15">
        <v>7000</v>
      </c>
      <c r="AJ6" s="17" t="s">
        <v>69</v>
      </c>
      <c r="AK6" s="17">
        <v>20</v>
      </c>
    </row>
    <row r="7" spans="1:37" ht="15.6" x14ac:dyDescent="0.25">
      <c r="B7" s="4">
        <v>0.7</v>
      </c>
      <c r="D7" s="3">
        <v>4</v>
      </c>
      <c r="H7" s="3">
        <v>4</v>
      </c>
      <c r="J7" s="1">
        <v>0</v>
      </c>
      <c r="L7" s="3">
        <v>20</v>
      </c>
      <c r="N7" s="8">
        <v>6500</v>
      </c>
      <c r="P7" s="7">
        <v>1075</v>
      </c>
      <c r="R7" s="3">
        <v>575</v>
      </c>
      <c r="T7" s="3">
        <v>165</v>
      </c>
      <c r="V7" s="4">
        <v>2.5</v>
      </c>
      <c r="X7" s="8">
        <v>5150</v>
      </c>
      <c r="Z7" s="3">
        <v>115</v>
      </c>
      <c r="AB7" s="1">
        <v>5</v>
      </c>
      <c r="AC7" s="1"/>
      <c r="AD7" s="2" t="s">
        <v>20</v>
      </c>
      <c r="AE7" s="2"/>
      <c r="AF7" s="1">
        <v>2028</v>
      </c>
      <c r="AH7" s="15">
        <v>8000</v>
      </c>
      <c r="AJ7" s="17" t="s">
        <v>70</v>
      </c>
      <c r="AK7" s="17">
        <v>20</v>
      </c>
    </row>
    <row r="8" spans="1:37" ht="15.6" x14ac:dyDescent="0.25">
      <c r="B8" s="4">
        <v>0.8</v>
      </c>
      <c r="D8" s="3">
        <v>5</v>
      </c>
      <c r="F8" s="2" t="s">
        <v>35</v>
      </c>
      <c r="H8" s="3">
        <v>5</v>
      </c>
      <c r="J8" s="1">
        <v>1</v>
      </c>
      <c r="L8" s="3">
        <v>25</v>
      </c>
      <c r="N8" s="8">
        <v>7000</v>
      </c>
      <c r="P8" s="7">
        <v>1100</v>
      </c>
      <c r="R8" s="3">
        <v>600</v>
      </c>
      <c r="T8" s="3">
        <v>170</v>
      </c>
      <c r="V8" s="4">
        <v>3</v>
      </c>
      <c r="X8" s="8">
        <v>5200</v>
      </c>
      <c r="Z8" s="3">
        <v>120</v>
      </c>
      <c r="AB8" s="1">
        <v>6</v>
      </c>
      <c r="AC8" s="1"/>
      <c r="AD8" s="2" t="s">
        <v>21</v>
      </c>
      <c r="AE8" s="2"/>
      <c r="AF8" s="1">
        <v>2029</v>
      </c>
      <c r="AH8" s="15">
        <v>9000</v>
      </c>
      <c r="AJ8" s="17" t="s">
        <v>71</v>
      </c>
      <c r="AK8" s="17">
        <v>20</v>
      </c>
    </row>
    <row r="9" spans="1:37" ht="15.6" x14ac:dyDescent="0.25">
      <c r="B9" s="4">
        <v>0.9</v>
      </c>
      <c r="D9" s="3">
        <v>6</v>
      </c>
      <c r="F9" s="2" t="s">
        <v>32</v>
      </c>
      <c r="H9" s="3">
        <v>6</v>
      </c>
      <c r="J9" s="1">
        <v>2</v>
      </c>
      <c r="L9" s="3">
        <v>30</v>
      </c>
      <c r="N9" s="8">
        <v>7500</v>
      </c>
      <c r="P9" s="7">
        <v>1125</v>
      </c>
      <c r="R9" s="3">
        <v>625</v>
      </c>
      <c r="T9" s="3">
        <v>175</v>
      </c>
      <c r="V9" s="4">
        <v>3.5</v>
      </c>
      <c r="X9" s="8">
        <v>5250</v>
      </c>
      <c r="Z9" s="3">
        <v>125</v>
      </c>
      <c r="AB9" s="1">
        <v>7</v>
      </c>
      <c r="AC9" s="1"/>
      <c r="AD9" s="2" t="s">
        <v>22</v>
      </c>
      <c r="AE9" s="2"/>
      <c r="AF9" s="1">
        <v>2030</v>
      </c>
      <c r="AH9" s="15">
        <v>10000</v>
      </c>
      <c r="AJ9" s="17" t="s">
        <v>72</v>
      </c>
      <c r="AK9" s="17">
        <f>SUM(AK4:AK8)</f>
        <v>100</v>
      </c>
    </row>
    <row r="10" spans="1:37" ht="15.6" x14ac:dyDescent="0.25">
      <c r="B10" s="4">
        <v>1</v>
      </c>
      <c r="D10" s="3">
        <v>7</v>
      </c>
      <c r="F10" s="2" t="s">
        <v>33</v>
      </c>
      <c r="H10" s="3">
        <v>7</v>
      </c>
      <c r="L10" s="3">
        <v>40</v>
      </c>
      <c r="N10" s="8">
        <v>8000</v>
      </c>
      <c r="P10" s="7">
        <v>1150</v>
      </c>
      <c r="R10" s="3">
        <v>650</v>
      </c>
      <c r="T10" s="3">
        <v>180</v>
      </c>
      <c r="V10" s="4">
        <v>4</v>
      </c>
      <c r="X10" s="8">
        <v>5300</v>
      </c>
      <c r="Z10" s="3">
        <v>130</v>
      </c>
      <c r="AB10" s="1">
        <v>8</v>
      </c>
      <c r="AC10" s="1"/>
      <c r="AD10" s="2" t="s">
        <v>23</v>
      </c>
      <c r="AE10" s="2"/>
      <c r="AF10" s="1">
        <v>2031</v>
      </c>
      <c r="AH10" s="15">
        <v>11000</v>
      </c>
    </row>
    <row r="11" spans="1:37" ht="15.6" x14ac:dyDescent="0.25">
      <c r="B11" s="4">
        <v>1.1000000000000001</v>
      </c>
      <c r="D11" s="3">
        <v>8</v>
      </c>
      <c r="F11" s="2" t="s">
        <v>31</v>
      </c>
      <c r="H11" s="3">
        <v>8</v>
      </c>
      <c r="J11" s="11" t="s">
        <v>64</v>
      </c>
      <c r="L11" s="3">
        <v>50</v>
      </c>
      <c r="N11" s="8">
        <v>8500</v>
      </c>
      <c r="P11" s="7">
        <v>1175</v>
      </c>
      <c r="R11" s="3">
        <v>675</v>
      </c>
      <c r="T11" s="3">
        <v>185</v>
      </c>
      <c r="V11" s="4">
        <v>4.5</v>
      </c>
      <c r="X11" s="8">
        <v>5350</v>
      </c>
      <c r="Z11" s="3">
        <v>135</v>
      </c>
      <c r="AB11" s="1">
        <v>9</v>
      </c>
      <c r="AC11" s="1"/>
      <c r="AD11" s="2" t="s">
        <v>24</v>
      </c>
      <c r="AE11" s="2"/>
      <c r="AF11" s="1">
        <v>2032</v>
      </c>
      <c r="AH11" s="15">
        <v>12000</v>
      </c>
      <c r="AJ11" s="45" t="s">
        <v>74</v>
      </c>
      <c r="AK11" s="45"/>
    </row>
    <row r="12" spans="1:37" ht="15.6" x14ac:dyDescent="0.25">
      <c r="B12" s="4">
        <v>1.2</v>
      </c>
      <c r="D12" s="3">
        <v>9</v>
      </c>
      <c r="F12" s="2" t="s">
        <v>30</v>
      </c>
      <c r="H12" s="3">
        <v>9</v>
      </c>
      <c r="J12" s="1">
        <v>0</v>
      </c>
      <c r="L12" s="3">
        <v>60</v>
      </c>
      <c r="N12" s="8">
        <v>9000</v>
      </c>
      <c r="P12" s="7">
        <v>1200</v>
      </c>
      <c r="R12" s="3">
        <v>700</v>
      </c>
      <c r="T12" s="3">
        <v>190</v>
      </c>
      <c r="V12" s="4">
        <v>5</v>
      </c>
      <c r="X12" s="8">
        <v>5400</v>
      </c>
      <c r="Z12" s="3">
        <v>140</v>
      </c>
      <c r="AB12" s="1">
        <v>10</v>
      </c>
      <c r="AC12" s="1"/>
      <c r="AD12" s="2" t="s">
        <v>25</v>
      </c>
      <c r="AE12" s="2"/>
      <c r="AF12" s="1">
        <v>2033</v>
      </c>
      <c r="AH12" s="15">
        <v>13000</v>
      </c>
      <c r="AJ12" s="18" t="s">
        <v>81</v>
      </c>
      <c r="AK12" s="18" t="s">
        <v>80</v>
      </c>
    </row>
    <row r="13" spans="1:37" ht="15.6" x14ac:dyDescent="0.25">
      <c r="B13" s="4">
        <v>1.3</v>
      </c>
      <c r="D13" s="3">
        <v>10</v>
      </c>
      <c r="F13" s="2" t="s">
        <v>34</v>
      </c>
      <c r="H13" s="3">
        <v>10</v>
      </c>
      <c r="J13" s="1">
        <v>1</v>
      </c>
      <c r="L13" s="3">
        <v>100</v>
      </c>
      <c r="N13" s="8">
        <v>9500</v>
      </c>
      <c r="P13" s="7">
        <v>1225</v>
      </c>
      <c r="R13" s="3">
        <v>725</v>
      </c>
      <c r="T13" s="3">
        <v>195</v>
      </c>
      <c r="V13" s="4">
        <v>5.5</v>
      </c>
      <c r="X13" s="8">
        <v>5450</v>
      </c>
      <c r="Z13" s="3">
        <v>145</v>
      </c>
      <c r="AB13" s="1">
        <v>11</v>
      </c>
      <c r="AC13" s="1"/>
      <c r="AD13" s="2" t="s">
        <v>26</v>
      </c>
      <c r="AE13" s="2"/>
      <c r="AF13" s="1">
        <v>2034</v>
      </c>
      <c r="AH13" s="15">
        <v>14000</v>
      </c>
      <c r="AJ13" s="17" t="s">
        <v>77</v>
      </c>
      <c r="AK13" s="1" t="e">
        <f>#REF!*100</f>
        <v>#REF!</v>
      </c>
    </row>
    <row r="14" spans="1:37" ht="15.6" x14ac:dyDescent="0.25">
      <c r="B14" s="4">
        <v>1.4</v>
      </c>
      <c r="D14" s="3">
        <v>11</v>
      </c>
      <c r="H14" s="3">
        <v>11</v>
      </c>
      <c r="L14" s="3">
        <v>120</v>
      </c>
      <c r="N14" s="8">
        <v>10000</v>
      </c>
      <c r="P14" s="7">
        <v>1250</v>
      </c>
      <c r="R14" s="3">
        <v>750</v>
      </c>
      <c r="T14" s="3">
        <v>200</v>
      </c>
      <c r="V14" s="4">
        <v>6</v>
      </c>
      <c r="X14" s="8">
        <v>5500</v>
      </c>
      <c r="Z14" s="3">
        <v>150</v>
      </c>
      <c r="AB14" s="1">
        <v>12</v>
      </c>
      <c r="AC14" s="1"/>
      <c r="AD14" s="2" t="s">
        <v>27</v>
      </c>
      <c r="AE14" s="2"/>
      <c r="AF14" s="1">
        <v>2035</v>
      </c>
      <c r="AH14" s="15">
        <v>15000</v>
      </c>
      <c r="AJ14" s="17" t="s">
        <v>76</v>
      </c>
      <c r="AK14" s="1">
        <v>2</v>
      </c>
    </row>
    <row r="15" spans="1:37" ht="15.6" x14ac:dyDescent="0.25">
      <c r="B15" s="4">
        <v>1.5</v>
      </c>
      <c r="D15" s="3">
        <v>12</v>
      </c>
      <c r="F15" s="2" t="s">
        <v>37</v>
      </c>
      <c r="H15" s="3">
        <v>12</v>
      </c>
      <c r="N15" s="8">
        <v>10500</v>
      </c>
      <c r="P15" s="7">
        <v>1275</v>
      </c>
      <c r="R15" s="3">
        <v>775</v>
      </c>
      <c r="T15" s="3">
        <v>205</v>
      </c>
      <c r="V15" s="4">
        <v>6.5</v>
      </c>
      <c r="X15" s="8">
        <v>5550</v>
      </c>
      <c r="Z15" s="3">
        <v>155</v>
      </c>
      <c r="AB15" s="1">
        <v>13</v>
      </c>
      <c r="AC15" s="1"/>
      <c r="AH15" s="15">
        <v>16000</v>
      </c>
      <c r="AJ15" s="17" t="s">
        <v>75</v>
      </c>
      <c r="AK15" s="1" t="e">
        <f>AK9-AK13-AK14</f>
        <v>#REF!</v>
      </c>
    </row>
    <row r="16" spans="1:37" ht="26.4" x14ac:dyDescent="0.25">
      <c r="B16" s="4">
        <v>1.6</v>
      </c>
      <c r="D16" s="3">
        <v>13</v>
      </c>
      <c r="F16" s="2" t="s">
        <v>38</v>
      </c>
      <c r="H16" s="3">
        <v>13</v>
      </c>
      <c r="J16" s="11" t="s">
        <v>97</v>
      </c>
      <c r="L16" s="12" t="s">
        <v>42</v>
      </c>
      <c r="N16" s="8">
        <v>11000</v>
      </c>
      <c r="P16" s="7">
        <v>1300</v>
      </c>
      <c r="R16" s="3">
        <v>800</v>
      </c>
      <c r="T16" s="3">
        <v>210</v>
      </c>
      <c r="V16" s="4">
        <v>7</v>
      </c>
      <c r="X16" s="8">
        <v>5600</v>
      </c>
      <c r="Z16" s="3">
        <v>160</v>
      </c>
      <c r="AB16" s="1">
        <v>14</v>
      </c>
      <c r="AC16" s="1"/>
      <c r="AH16" s="15">
        <v>17000</v>
      </c>
      <c r="AJ16" s="17" t="s">
        <v>61</v>
      </c>
      <c r="AK16" s="1">
        <v>100</v>
      </c>
    </row>
    <row r="17" spans="2:37" ht="15.6" x14ac:dyDescent="0.25">
      <c r="B17" s="4">
        <v>1.7</v>
      </c>
      <c r="D17" s="3">
        <v>14</v>
      </c>
      <c r="F17" s="2" t="s">
        <v>39</v>
      </c>
      <c r="H17" s="3">
        <v>14</v>
      </c>
      <c r="J17" s="11" t="s">
        <v>98</v>
      </c>
      <c r="L17" s="12" t="s">
        <v>91</v>
      </c>
      <c r="N17" s="8">
        <v>11500</v>
      </c>
      <c r="P17" s="7">
        <v>1325</v>
      </c>
      <c r="R17" s="3">
        <v>825</v>
      </c>
      <c r="T17" s="3">
        <v>215</v>
      </c>
      <c r="V17" s="4">
        <v>7.5</v>
      </c>
      <c r="X17" s="8">
        <v>5650</v>
      </c>
      <c r="Z17" s="3">
        <v>165</v>
      </c>
      <c r="AB17" s="1">
        <v>15</v>
      </c>
      <c r="AC17" s="1"/>
      <c r="AH17" s="15">
        <v>18000</v>
      </c>
    </row>
    <row r="18" spans="2:37" ht="15.6" x14ac:dyDescent="0.25">
      <c r="B18" s="4">
        <v>1.8</v>
      </c>
      <c r="D18" s="3">
        <v>15</v>
      </c>
      <c r="H18" s="3">
        <v>15</v>
      </c>
      <c r="J18" s="11" t="s">
        <v>2</v>
      </c>
      <c r="L18" s="12">
        <v>-26</v>
      </c>
      <c r="N18" s="8">
        <v>12000</v>
      </c>
      <c r="P18" s="7">
        <v>1350</v>
      </c>
      <c r="R18" s="3">
        <v>850</v>
      </c>
      <c r="T18" s="3">
        <v>220</v>
      </c>
      <c r="V18" s="4">
        <v>8</v>
      </c>
      <c r="X18" s="8">
        <v>5700</v>
      </c>
      <c r="Z18" s="3">
        <v>170</v>
      </c>
      <c r="AB18" s="1">
        <v>16</v>
      </c>
      <c r="AC18" s="1"/>
      <c r="AH18" s="15">
        <v>19000</v>
      </c>
      <c r="AJ18" s="45"/>
      <c r="AK18" s="45"/>
    </row>
    <row r="19" spans="2:37" ht="18" x14ac:dyDescent="0.25">
      <c r="B19" s="4">
        <v>1.9</v>
      </c>
      <c r="D19" s="3">
        <v>16</v>
      </c>
      <c r="F19" s="9"/>
      <c r="H19" s="3">
        <v>16</v>
      </c>
      <c r="J19" s="11" t="s">
        <v>99</v>
      </c>
      <c r="L19" s="12">
        <v>-14</v>
      </c>
      <c r="N19" s="8">
        <v>12500</v>
      </c>
      <c r="P19" s="7">
        <v>1375</v>
      </c>
      <c r="R19" s="3">
        <v>875</v>
      </c>
      <c r="T19" s="3">
        <v>225</v>
      </c>
      <c r="V19" s="4">
        <v>8.5</v>
      </c>
      <c r="X19" s="8">
        <v>5750</v>
      </c>
      <c r="Z19" s="3">
        <v>175</v>
      </c>
      <c r="AB19" s="1">
        <v>17</v>
      </c>
      <c r="AC19" s="1"/>
      <c r="AH19" s="15">
        <v>20000</v>
      </c>
      <c r="AJ19" s="18"/>
      <c r="AK19" s="18"/>
    </row>
    <row r="20" spans="2:37" ht="15.6" x14ac:dyDescent="0.25">
      <c r="B20" s="4">
        <v>2</v>
      </c>
      <c r="D20" s="3">
        <v>17</v>
      </c>
      <c r="F20" s="10"/>
      <c r="H20" s="3">
        <v>17</v>
      </c>
      <c r="J20" s="11" t="s">
        <v>62</v>
      </c>
      <c r="L20" s="1">
        <v>0</v>
      </c>
      <c r="N20" s="8">
        <v>13000</v>
      </c>
      <c r="P20" s="7">
        <v>1400</v>
      </c>
      <c r="R20" s="3">
        <v>900</v>
      </c>
      <c r="T20" s="3">
        <v>230</v>
      </c>
      <c r="V20" s="4">
        <v>9</v>
      </c>
      <c r="X20" s="8">
        <v>5800</v>
      </c>
      <c r="Z20" s="3">
        <v>180</v>
      </c>
      <c r="AB20" s="1">
        <v>18</v>
      </c>
      <c r="AC20" s="1"/>
      <c r="AH20" s="15">
        <v>21000</v>
      </c>
      <c r="AJ20" s="17"/>
      <c r="AK20" s="1"/>
    </row>
    <row r="21" spans="2:37" ht="15.6" x14ac:dyDescent="0.25">
      <c r="B21" s="4">
        <v>2.1</v>
      </c>
      <c r="D21" s="3">
        <v>18</v>
      </c>
      <c r="F21" s="10"/>
      <c r="H21" s="3">
        <v>18</v>
      </c>
      <c r="J21" s="11" t="s">
        <v>92</v>
      </c>
      <c r="L21" s="1">
        <v>1</v>
      </c>
      <c r="N21" s="8">
        <v>13500</v>
      </c>
      <c r="P21" s="7">
        <v>1425</v>
      </c>
      <c r="R21" s="3">
        <v>925</v>
      </c>
      <c r="T21" s="3">
        <v>235</v>
      </c>
      <c r="V21" s="4">
        <v>9.5</v>
      </c>
      <c r="X21" s="8">
        <v>5850</v>
      </c>
      <c r="Z21" s="3">
        <v>185</v>
      </c>
      <c r="AB21" s="1">
        <v>19</v>
      </c>
      <c r="AC21" s="1"/>
      <c r="AH21" s="15">
        <v>22000</v>
      </c>
      <c r="AJ21" s="17"/>
      <c r="AK21" s="1"/>
    </row>
    <row r="22" spans="2:37" ht="15.6" x14ac:dyDescent="0.25">
      <c r="B22" s="4">
        <v>2.2000000000000002</v>
      </c>
      <c r="D22" s="3">
        <v>19</v>
      </c>
      <c r="F22" s="10"/>
      <c r="H22" s="3">
        <v>19</v>
      </c>
      <c r="J22" s="11" t="s">
        <v>93</v>
      </c>
      <c r="L22" s="1">
        <v>2</v>
      </c>
      <c r="N22" s="8">
        <v>14000</v>
      </c>
      <c r="P22" s="7">
        <v>1450</v>
      </c>
      <c r="R22" s="3">
        <v>950</v>
      </c>
      <c r="T22" s="3">
        <v>240</v>
      </c>
      <c r="V22" s="4">
        <v>10</v>
      </c>
      <c r="X22" s="8">
        <v>5900</v>
      </c>
      <c r="Z22" s="3">
        <v>190</v>
      </c>
      <c r="AB22" s="1">
        <v>20</v>
      </c>
      <c r="AC22" s="1"/>
      <c r="AH22" s="15">
        <v>23000</v>
      </c>
      <c r="AJ22" s="17"/>
      <c r="AK22" s="1"/>
    </row>
    <row r="23" spans="2:37" ht="15.6" x14ac:dyDescent="0.25">
      <c r="B23" s="4">
        <v>2.2999999999999998</v>
      </c>
      <c r="D23" s="3">
        <v>20</v>
      </c>
      <c r="F23" s="10"/>
      <c r="H23" s="3">
        <v>20</v>
      </c>
      <c r="J23" s="11" t="s">
        <v>94</v>
      </c>
      <c r="L23" s="1">
        <v>3</v>
      </c>
      <c r="N23" s="8">
        <v>14500</v>
      </c>
      <c r="P23" s="7">
        <v>1475</v>
      </c>
      <c r="R23" s="3">
        <v>975</v>
      </c>
      <c r="T23" s="3">
        <v>245</v>
      </c>
      <c r="V23" s="4">
        <v>10.5</v>
      </c>
      <c r="X23" s="8">
        <v>5950</v>
      </c>
      <c r="Z23" s="3">
        <v>195</v>
      </c>
      <c r="AB23" s="1">
        <v>21</v>
      </c>
      <c r="AC23" s="1"/>
      <c r="AH23" s="15">
        <v>24000</v>
      </c>
      <c r="AJ23" s="17"/>
      <c r="AK23" s="1"/>
    </row>
    <row r="24" spans="2:37" ht="15.6" x14ac:dyDescent="0.25">
      <c r="B24" s="4">
        <v>2.4</v>
      </c>
      <c r="D24" s="3">
        <v>21</v>
      </c>
      <c r="F24" s="10"/>
      <c r="H24" s="3">
        <v>21</v>
      </c>
      <c r="J24" s="11" t="s">
        <v>95</v>
      </c>
      <c r="L24" s="1">
        <v>4</v>
      </c>
      <c r="N24" s="8">
        <v>15000</v>
      </c>
      <c r="P24" s="7">
        <v>1500</v>
      </c>
      <c r="R24" s="3">
        <v>1000</v>
      </c>
      <c r="T24" s="3">
        <v>250</v>
      </c>
      <c r="V24" s="4">
        <v>11</v>
      </c>
      <c r="X24" s="8">
        <v>6000</v>
      </c>
      <c r="Z24" s="3">
        <v>200</v>
      </c>
      <c r="AB24" s="1">
        <v>22</v>
      </c>
      <c r="AC24" s="1"/>
      <c r="AH24" s="15">
        <v>25000</v>
      </c>
    </row>
    <row r="25" spans="2:37" ht="15.6" x14ac:dyDescent="0.25">
      <c r="B25" s="4">
        <v>2.5</v>
      </c>
      <c r="D25" s="3">
        <v>22</v>
      </c>
      <c r="F25" s="10"/>
      <c r="H25" s="3">
        <v>22</v>
      </c>
      <c r="J25" s="11" t="s">
        <v>96</v>
      </c>
      <c r="L25" s="1">
        <v>5</v>
      </c>
      <c r="N25" s="8">
        <v>15500</v>
      </c>
      <c r="P25" s="7">
        <v>1525</v>
      </c>
      <c r="R25" s="3">
        <v>1025</v>
      </c>
      <c r="T25" s="3">
        <v>255</v>
      </c>
      <c r="V25" s="4">
        <v>11.5</v>
      </c>
      <c r="X25" s="8">
        <v>6050</v>
      </c>
      <c r="Z25" s="3">
        <v>205</v>
      </c>
      <c r="AB25" s="1">
        <v>23</v>
      </c>
      <c r="AC25" s="1"/>
      <c r="AH25" s="15">
        <v>26000</v>
      </c>
    </row>
    <row r="26" spans="2:37" ht="15.6" x14ac:dyDescent="0.25">
      <c r="B26" s="4">
        <v>2.6</v>
      </c>
      <c r="D26" s="3">
        <v>23</v>
      </c>
      <c r="F26" s="10"/>
      <c r="H26" s="3">
        <v>23</v>
      </c>
      <c r="L26" s="1">
        <v>6</v>
      </c>
      <c r="N26" s="8">
        <v>16000</v>
      </c>
      <c r="P26" s="7">
        <v>1550</v>
      </c>
      <c r="R26" s="3">
        <v>1050</v>
      </c>
      <c r="T26" s="3">
        <v>260</v>
      </c>
      <c r="V26" s="4">
        <v>12</v>
      </c>
      <c r="X26" s="8">
        <v>6100</v>
      </c>
      <c r="Z26" s="3">
        <v>210</v>
      </c>
      <c r="AB26" s="1">
        <v>24</v>
      </c>
      <c r="AC26" s="1"/>
      <c r="AH26" s="15">
        <v>27000</v>
      </c>
    </row>
    <row r="27" spans="2:37" ht="15.6" x14ac:dyDescent="0.25">
      <c r="B27" s="4">
        <v>2.7</v>
      </c>
      <c r="D27" s="3">
        <v>24</v>
      </c>
      <c r="F27" s="10"/>
      <c r="H27" s="3">
        <v>24</v>
      </c>
      <c r="L27" s="1">
        <v>7</v>
      </c>
      <c r="N27" s="8">
        <v>16500</v>
      </c>
      <c r="P27" s="7">
        <v>1575</v>
      </c>
      <c r="R27" s="3">
        <v>1075</v>
      </c>
      <c r="T27" s="3">
        <v>265</v>
      </c>
      <c r="V27" s="4">
        <v>12.5</v>
      </c>
      <c r="X27" s="8">
        <v>6150</v>
      </c>
      <c r="Z27" s="3">
        <v>215</v>
      </c>
      <c r="AB27" s="1">
        <v>25</v>
      </c>
      <c r="AC27" s="1"/>
      <c r="AH27" s="15">
        <v>28000</v>
      </c>
    </row>
    <row r="28" spans="2:37" ht="15.6" x14ac:dyDescent="0.25">
      <c r="B28" s="4">
        <v>2.8</v>
      </c>
      <c r="D28" s="3">
        <v>25</v>
      </c>
      <c r="F28" s="10"/>
      <c r="H28" s="3">
        <v>25</v>
      </c>
      <c r="L28" s="1">
        <v>8</v>
      </c>
      <c r="N28" s="8">
        <v>17000</v>
      </c>
      <c r="P28" s="7">
        <v>1600</v>
      </c>
      <c r="R28" s="3">
        <v>1100</v>
      </c>
      <c r="T28" s="3">
        <v>270</v>
      </c>
      <c r="V28" s="4">
        <v>13</v>
      </c>
      <c r="X28" s="8">
        <v>6200</v>
      </c>
      <c r="Z28" s="3">
        <v>220</v>
      </c>
      <c r="AB28" s="1">
        <v>26</v>
      </c>
      <c r="AC28" s="1"/>
      <c r="AH28" s="15">
        <v>29000</v>
      </c>
    </row>
    <row r="29" spans="2:37" ht="15.6" x14ac:dyDescent="0.25">
      <c r="B29" s="4">
        <v>2.9</v>
      </c>
      <c r="D29" s="3">
        <v>26</v>
      </c>
      <c r="F29" s="10"/>
      <c r="H29" s="3">
        <v>26</v>
      </c>
      <c r="L29" s="1">
        <v>9</v>
      </c>
      <c r="N29" s="8">
        <v>17500</v>
      </c>
      <c r="P29" s="7">
        <v>1625</v>
      </c>
      <c r="R29" s="3">
        <v>1125</v>
      </c>
      <c r="T29" s="3">
        <v>275</v>
      </c>
      <c r="V29" s="4">
        <v>13.5</v>
      </c>
      <c r="X29" s="8">
        <v>6250</v>
      </c>
      <c r="Z29" s="3">
        <v>225</v>
      </c>
      <c r="AB29" s="1">
        <v>27</v>
      </c>
      <c r="AC29" s="1"/>
      <c r="AH29" s="15">
        <v>30000</v>
      </c>
    </row>
    <row r="30" spans="2:37" ht="15.6" x14ac:dyDescent="0.25">
      <c r="B30" s="4">
        <v>3</v>
      </c>
      <c r="D30" s="3">
        <v>27</v>
      </c>
      <c r="F30" s="10"/>
      <c r="H30" s="3">
        <v>27</v>
      </c>
      <c r="L30" s="1">
        <v>10</v>
      </c>
      <c r="N30" s="8">
        <v>18000</v>
      </c>
      <c r="P30" s="7">
        <v>1650</v>
      </c>
      <c r="R30" s="3">
        <v>1150</v>
      </c>
      <c r="T30" s="3">
        <v>280</v>
      </c>
      <c r="V30" s="4">
        <v>14</v>
      </c>
      <c r="X30" s="8">
        <v>6300</v>
      </c>
      <c r="Z30" s="3">
        <v>230</v>
      </c>
      <c r="AB30" s="1">
        <v>28</v>
      </c>
      <c r="AC30" s="1"/>
      <c r="AH30" s="15">
        <v>31000</v>
      </c>
    </row>
    <row r="31" spans="2:37" ht="15.6" x14ac:dyDescent="0.25">
      <c r="B31" s="5"/>
      <c r="D31" s="3">
        <v>28</v>
      </c>
      <c r="F31" s="10"/>
      <c r="H31" s="3">
        <v>28</v>
      </c>
      <c r="L31" s="1">
        <v>11</v>
      </c>
      <c r="N31" s="8">
        <v>18500</v>
      </c>
      <c r="P31" s="7">
        <v>1675</v>
      </c>
      <c r="R31" s="3">
        <v>1175</v>
      </c>
      <c r="T31" s="3">
        <v>285</v>
      </c>
      <c r="V31" s="4">
        <v>14.5</v>
      </c>
      <c r="X31" s="8">
        <v>6350</v>
      </c>
      <c r="Z31" s="3">
        <v>235</v>
      </c>
      <c r="AB31" s="1">
        <v>29</v>
      </c>
      <c r="AC31" s="1"/>
      <c r="AH31" s="15">
        <v>32000</v>
      </c>
    </row>
    <row r="32" spans="2:37" ht="15.6" x14ac:dyDescent="0.25">
      <c r="B32" s="11" t="s">
        <v>45</v>
      </c>
      <c r="D32" s="3">
        <v>29</v>
      </c>
      <c r="F32" s="10"/>
      <c r="H32" s="3">
        <v>29</v>
      </c>
      <c r="L32" s="1">
        <v>12</v>
      </c>
      <c r="N32" s="8">
        <v>19000</v>
      </c>
      <c r="P32" s="7">
        <v>1700</v>
      </c>
      <c r="R32" s="3">
        <v>1200</v>
      </c>
      <c r="T32" s="3">
        <v>290</v>
      </c>
      <c r="V32" s="4">
        <v>15</v>
      </c>
      <c r="X32" s="8">
        <v>6400</v>
      </c>
      <c r="Z32" s="3">
        <v>240</v>
      </c>
      <c r="AB32" s="1">
        <v>30</v>
      </c>
      <c r="AC32" s="1"/>
      <c r="AH32" s="15">
        <v>33000</v>
      </c>
    </row>
    <row r="33" spans="2:34" ht="15.6" x14ac:dyDescent="0.25">
      <c r="B33" s="11" t="s">
        <v>46</v>
      </c>
      <c r="D33" s="3">
        <v>30</v>
      </c>
      <c r="F33" s="10"/>
      <c r="H33" s="3">
        <v>30</v>
      </c>
      <c r="L33" s="1">
        <v>13</v>
      </c>
      <c r="N33" s="8">
        <v>19500</v>
      </c>
      <c r="P33" s="7">
        <v>1725</v>
      </c>
      <c r="R33" s="3">
        <v>1225</v>
      </c>
      <c r="T33" s="3">
        <v>295</v>
      </c>
      <c r="V33" s="4">
        <v>15.5</v>
      </c>
      <c r="X33" s="8">
        <v>6450</v>
      </c>
      <c r="Z33" s="3">
        <v>245</v>
      </c>
      <c r="AB33" s="1">
        <v>31</v>
      </c>
      <c r="AC33" s="1"/>
      <c r="AH33" s="15">
        <v>34000</v>
      </c>
    </row>
    <row r="34" spans="2:34" ht="15.6" x14ac:dyDescent="0.25">
      <c r="B34" s="11" t="s">
        <v>1</v>
      </c>
      <c r="D34" s="3">
        <v>31</v>
      </c>
      <c r="F34" s="10"/>
      <c r="L34" s="1">
        <v>14</v>
      </c>
      <c r="N34" s="8">
        <v>20000</v>
      </c>
      <c r="P34" s="7">
        <v>1750</v>
      </c>
      <c r="R34" s="3">
        <v>1250</v>
      </c>
      <c r="T34" s="3">
        <v>300</v>
      </c>
      <c r="V34" s="4">
        <v>16</v>
      </c>
      <c r="X34" s="8">
        <v>6500</v>
      </c>
      <c r="Z34" s="3">
        <v>250</v>
      </c>
      <c r="AH34" s="15">
        <v>35000</v>
      </c>
    </row>
    <row r="35" spans="2:34" ht="15.6" x14ac:dyDescent="0.25">
      <c r="B35" s="11" t="s">
        <v>100</v>
      </c>
      <c r="D35" s="3">
        <v>32</v>
      </c>
      <c r="F35" s="10"/>
      <c r="L35" s="1">
        <v>15</v>
      </c>
      <c r="N35" s="8">
        <v>20500</v>
      </c>
      <c r="P35" s="7">
        <v>1775</v>
      </c>
      <c r="R35" s="3">
        <v>1275</v>
      </c>
      <c r="T35" s="3">
        <v>305</v>
      </c>
      <c r="V35" s="4">
        <v>16.5</v>
      </c>
      <c r="X35" s="8">
        <v>6550</v>
      </c>
      <c r="Z35" s="3">
        <v>255</v>
      </c>
      <c r="AH35" s="15">
        <v>36000</v>
      </c>
    </row>
    <row r="36" spans="2:34" ht="15.6" x14ac:dyDescent="0.25">
      <c r="B36" s="11" t="s">
        <v>101</v>
      </c>
      <c r="D36" s="3">
        <v>33</v>
      </c>
      <c r="F36" s="10"/>
      <c r="L36" s="1">
        <v>16</v>
      </c>
      <c r="N36" s="8">
        <v>21000</v>
      </c>
      <c r="P36" s="7">
        <v>1800</v>
      </c>
      <c r="R36" s="3">
        <v>1300</v>
      </c>
      <c r="T36" s="3">
        <v>310</v>
      </c>
      <c r="V36" s="4">
        <v>17</v>
      </c>
      <c r="X36" s="8">
        <v>6600</v>
      </c>
      <c r="Z36" s="3">
        <v>260</v>
      </c>
      <c r="AH36" s="15">
        <v>37000</v>
      </c>
    </row>
    <row r="37" spans="2:34" ht="15.6" x14ac:dyDescent="0.25">
      <c r="B37" s="11" t="s">
        <v>9</v>
      </c>
      <c r="D37" s="3">
        <v>34</v>
      </c>
      <c r="F37" s="10"/>
      <c r="L37" s="1">
        <v>17</v>
      </c>
      <c r="N37" s="8">
        <v>21500</v>
      </c>
      <c r="P37" s="7">
        <v>1825</v>
      </c>
      <c r="R37" s="3">
        <v>1325</v>
      </c>
      <c r="T37" s="3">
        <v>315</v>
      </c>
      <c r="V37" s="4">
        <v>17.5</v>
      </c>
      <c r="X37" s="8">
        <v>6650</v>
      </c>
      <c r="Z37" s="3">
        <v>265</v>
      </c>
      <c r="AH37" s="15">
        <v>38000</v>
      </c>
    </row>
    <row r="38" spans="2:34" ht="15.6" x14ac:dyDescent="0.25">
      <c r="D38" s="3">
        <v>35</v>
      </c>
      <c r="F38" s="10"/>
      <c r="L38" s="1">
        <v>18</v>
      </c>
      <c r="N38" s="8">
        <v>22000</v>
      </c>
      <c r="P38" s="7">
        <v>1850</v>
      </c>
      <c r="R38" s="3">
        <v>1350</v>
      </c>
      <c r="T38" s="3">
        <v>320</v>
      </c>
      <c r="V38" s="4">
        <v>18</v>
      </c>
      <c r="X38" s="8">
        <v>6700</v>
      </c>
      <c r="Z38" s="3">
        <v>270</v>
      </c>
      <c r="AH38" s="15">
        <v>39000</v>
      </c>
    </row>
    <row r="39" spans="2:34" ht="15.6" x14ac:dyDescent="0.25">
      <c r="D39" s="3">
        <v>36</v>
      </c>
      <c r="F39" s="10"/>
      <c r="L39" s="1">
        <v>19</v>
      </c>
      <c r="N39" s="8">
        <v>22500</v>
      </c>
      <c r="P39" s="7">
        <v>1875</v>
      </c>
      <c r="R39" s="3">
        <v>1375</v>
      </c>
      <c r="T39" s="3">
        <v>325</v>
      </c>
      <c r="V39" s="4">
        <v>18.5</v>
      </c>
      <c r="X39" s="8">
        <v>6750</v>
      </c>
      <c r="Z39" s="3">
        <v>275</v>
      </c>
      <c r="AH39" s="15">
        <v>40000</v>
      </c>
    </row>
    <row r="40" spans="2:34" ht="15.6" x14ac:dyDescent="0.25">
      <c r="D40" s="3">
        <v>37</v>
      </c>
      <c r="F40" s="10"/>
      <c r="L40" s="1">
        <v>20</v>
      </c>
      <c r="N40" s="8">
        <v>23000</v>
      </c>
      <c r="P40" s="7">
        <v>1900</v>
      </c>
      <c r="R40" s="3">
        <v>1400</v>
      </c>
      <c r="T40" s="3">
        <v>330</v>
      </c>
      <c r="V40" s="4">
        <v>19</v>
      </c>
      <c r="X40" s="8">
        <v>6800</v>
      </c>
      <c r="Z40" s="3">
        <v>280</v>
      </c>
      <c r="AH40" s="15">
        <v>41000</v>
      </c>
    </row>
    <row r="41" spans="2:34" ht="15.6" x14ac:dyDescent="0.25">
      <c r="D41" s="3">
        <v>38</v>
      </c>
      <c r="L41" s="1">
        <v>21</v>
      </c>
      <c r="N41" s="8">
        <v>23500</v>
      </c>
      <c r="P41" s="7">
        <v>1925</v>
      </c>
      <c r="R41" s="3">
        <v>1425</v>
      </c>
      <c r="T41" s="3">
        <v>335</v>
      </c>
      <c r="V41" s="4">
        <v>19.5</v>
      </c>
      <c r="X41" s="8">
        <v>6850</v>
      </c>
      <c r="Z41" s="3">
        <v>285</v>
      </c>
      <c r="AH41" s="15">
        <v>42000</v>
      </c>
    </row>
    <row r="42" spans="2:34" ht="15.6" x14ac:dyDescent="0.25">
      <c r="D42" s="3">
        <v>39</v>
      </c>
      <c r="L42" s="1">
        <v>22</v>
      </c>
      <c r="N42" s="8">
        <v>24000</v>
      </c>
      <c r="P42" s="7">
        <v>1950</v>
      </c>
      <c r="R42" s="3">
        <v>1450</v>
      </c>
      <c r="T42" s="3">
        <v>340</v>
      </c>
      <c r="V42" s="4">
        <v>20</v>
      </c>
      <c r="X42" s="8">
        <v>6900</v>
      </c>
      <c r="Z42" s="3">
        <v>290</v>
      </c>
      <c r="AH42" s="15">
        <v>43000</v>
      </c>
    </row>
    <row r="43" spans="2:34" ht="15.6" x14ac:dyDescent="0.25">
      <c r="D43" s="3">
        <v>40</v>
      </c>
      <c r="L43" s="1">
        <v>23</v>
      </c>
      <c r="N43" s="8">
        <v>24500</v>
      </c>
      <c r="P43" s="7">
        <v>1975</v>
      </c>
      <c r="R43" s="3">
        <v>1475</v>
      </c>
      <c r="T43" s="3">
        <v>345</v>
      </c>
      <c r="V43" s="4">
        <v>20.5</v>
      </c>
      <c r="X43" s="8">
        <v>6950</v>
      </c>
      <c r="Z43" s="3">
        <v>295</v>
      </c>
      <c r="AH43" s="15">
        <v>44000</v>
      </c>
    </row>
    <row r="44" spans="2:34" ht="15.6" x14ac:dyDescent="0.25">
      <c r="D44" s="3">
        <v>41</v>
      </c>
      <c r="L44" s="1">
        <v>24</v>
      </c>
      <c r="N44" s="8">
        <v>25000</v>
      </c>
      <c r="P44" s="7">
        <v>2000</v>
      </c>
      <c r="R44" s="3">
        <v>1500</v>
      </c>
      <c r="T44" s="3">
        <v>350</v>
      </c>
      <c r="V44" s="4">
        <v>21</v>
      </c>
      <c r="X44" s="8">
        <v>7000</v>
      </c>
      <c r="Z44" s="3">
        <v>300</v>
      </c>
      <c r="AH44" s="15">
        <v>45000</v>
      </c>
    </row>
    <row r="45" spans="2:34" ht="15.6" x14ac:dyDescent="0.25">
      <c r="D45" s="3">
        <v>42</v>
      </c>
      <c r="L45" s="1">
        <v>25</v>
      </c>
      <c r="N45" s="8">
        <v>25500</v>
      </c>
      <c r="P45" s="7">
        <v>2025</v>
      </c>
      <c r="R45" s="3">
        <v>1525</v>
      </c>
      <c r="T45" s="3">
        <v>355</v>
      </c>
      <c r="V45" s="4">
        <v>21.5</v>
      </c>
      <c r="X45" s="8">
        <v>7050</v>
      </c>
      <c r="Z45" s="3">
        <v>305</v>
      </c>
      <c r="AH45" s="15">
        <v>46000</v>
      </c>
    </row>
    <row r="46" spans="2:34" ht="15.6" x14ac:dyDescent="0.25">
      <c r="D46" s="3">
        <v>43</v>
      </c>
      <c r="L46" s="1">
        <v>26</v>
      </c>
      <c r="N46" s="8">
        <v>26000</v>
      </c>
      <c r="P46" s="7">
        <v>2050</v>
      </c>
      <c r="R46" s="3">
        <v>1550</v>
      </c>
      <c r="T46" s="3">
        <v>360</v>
      </c>
      <c r="V46" s="4">
        <v>22</v>
      </c>
      <c r="X46" s="8">
        <v>7100</v>
      </c>
      <c r="Z46" s="3">
        <v>310</v>
      </c>
      <c r="AH46" s="15">
        <v>47000</v>
      </c>
    </row>
    <row r="47" spans="2:34" ht="15.6" x14ac:dyDescent="0.25">
      <c r="D47" s="3">
        <v>44</v>
      </c>
      <c r="L47" s="1">
        <v>27</v>
      </c>
      <c r="N47" s="8">
        <v>26500</v>
      </c>
      <c r="P47" s="7">
        <v>2075</v>
      </c>
      <c r="R47" s="3">
        <v>1575</v>
      </c>
      <c r="T47" s="3">
        <v>365</v>
      </c>
      <c r="V47" s="4">
        <v>22.5</v>
      </c>
      <c r="X47" s="8">
        <v>7150</v>
      </c>
      <c r="Z47" s="3">
        <v>315</v>
      </c>
      <c r="AH47" s="15">
        <v>48000</v>
      </c>
    </row>
    <row r="48" spans="2:34" ht="15.6" x14ac:dyDescent="0.25">
      <c r="D48" s="3">
        <v>45</v>
      </c>
      <c r="L48" s="1">
        <v>28</v>
      </c>
      <c r="N48" s="8">
        <v>27000</v>
      </c>
      <c r="P48" s="7">
        <v>2100</v>
      </c>
      <c r="R48" s="3">
        <v>1600</v>
      </c>
      <c r="V48" s="4">
        <v>23</v>
      </c>
      <c r="X48" s="8">
        <v>7200</v>
      </c>
      <c r="Z48" s="3">
        <v>320</v>
      </c>
      <c r="AH48" s="15">
        <v>49000</v>
      </c>
    </row>
    <row r="49" spans="4:34" ht="15.6" x14ac:dyDescent="0.25">
      <c r="D49" s="3">
        <v>46</v>
      </c>
      <c r="L49" s="1">
        <v>29</v>
      </c>
      <c r="N49" s="8">
        <v>27500</v>
      </c>
      <c r="P49" s="7">
        <v>2125</v>
      </c>
      <c r="R49" s="3">
        <v>1625</v>
      </c>
      <c r="V49" s="4">
        <v>23.5</v>
      </c>
      <c r="X49" s="8">
        <v>7250</v>
      </c>
      <c r="Z49" s="3">
        <v>325</v>
      </c>
      <c r="AH49" s="15">
        <v>50000</v>
      </c>
    </row>
    <row r="50" spans="4:34" ht="15.6" x14ac:dyDescent="0.25">
      <c r="D50" s="3">
        <v>47</v>
      </c>
      <c r="L50" s="1">
        <v>30</v>
      </c>
      <c r="N50" s="8">
        <v>28000</v>
      </c>
      <c r="P50" s="7">
        <v>2150</v>
      </c>
      <c r="R50" s="3">
        <v>1650</v>
      </c>
      <c r="V50" s="4">
        <v>24</v>
      </c>
      <c r="X50" s="8">
        <v>7300</v>
      </c>
      <c r="Z50" s="3">
        <v>330</v>
      </c>
      <c r="AH50" s="15">
        <v>51000</v>
      </c>
    </row>
    <row r="51" spans="4:34" ht="15.6" x14ac:dyDescent="0.25">
      <c r="D51" s="3">
        <v>48</v>
      </c>
      <c r="L51" s="1">
        <v>31</v>
      </c>
      <c r="N51" s="8">
        <v>28500</v>
      </c>
      <c r="P51" s="7">
        <v>2175</v>
      </c>
      <c r="R51" s="3">
        <v>1675</v>
      </c>
      <c r="V51" s="4">
        <v>24.5</v>
      </c>
      <c r="X51" s="8">
        <v>7350</v>
      </c>
      <c r="Z51" s="3">
        <v>335</v>
      </c>
      <c r="AH51" s="15">
        <v>52000</v>
      </c>
    </row>
    <row r="52" spans="4:34" ht="15.6" x14ac:dyDescent="0.25">
      <c r="D52" s="3">
        <v>49</v>
      </c>
      <c r="L52" s="1">
        <v>32</v>
      </c>
      <c r="N52" s="8">
        <v>29000</v>
      </c>
      <c r="P52" s="7">
        <v>2200</v>
      </c>
      <c r="R52" s="3">
        <v>1700</v>
      </c>
      <c r="V52" s="4">
        <v>25</v>
      </c>
      <c r="X52" s="8">
        <v>7400</v>
      </c>
      <c r="Z52" s="3">
        <v>340</v>
      </c>
      <c r="AH52" s="15">
        <v>53000</v>
      </c>
    </row>
    <row r="53" spans="4:34" ht="15.6" x14ac:dyDescent="0.25">
      <c r="D53" s="3">
        <v>50</v>
      </c>
      <c r="L53" s="1">
        <v>33</v>
      </c>
      <c r="N53" s="8">
        <v>29500</v>
      </c>
      <c r="P53" s="7">
        <v>2225</v>
      </c>
      <c r="R53" s="3">
        <v>1725</v>
      </c>
      <c r="V53" s="4">
        <v>25.5</v>
      </c>
      <c r="X53" s="8">
        <v>7450</v>
      </c>
      <c r="Z53" s="3">
        <v>345</v>
      </c>
      <c r="AH53" s="15">
        <v>54000</v>
      </c>
    </row>
    <row r="54" spans="4:34" ht="15.6" x14ac:dyDescent="0.25">
      <c r="D54" s="3">
        <v>51</v>
      </c>
      <c r="L54" s="1">
        <v>34</v>
      </c>
      <c r="N54" s="8">
        <v>30000</v>
      </c>
      <c r="P54" s="7">
        <v>2250</v>
      </c>
      <c r="R54" s="3">
        <v>1750</v>
      </c>
      <c r="V54" s="4">
        <v>26</v>
      </c>
      <c r="X54" s="8">
        <v>7500</v>
      </c>
      <c r="Z54" s="3">
        <v>350</v>
      </c>
      <c r="AH54" s="15">
        <v>55000</v>
      </c>
    </row>
    <row r="55" spans="4:34" ht="15.6" x14ac:dyDescent="0.25">
      <c r="D55" s="3">
        <v>52</v>
      </c>
      <c r="L55" s="1">
        <v>35</v>
      </c>
      <c r="N55" s="8">
        <v>30500</v>
      </c>
      <c r="P55" s="7">
        <v>2275</v>
      </c>
      <c r="R55" s="3">
        <v>1775</v>
      </c>
      <c r="V55" s="4">
        <v>26.5</v>
      </c>
      <c r="X55" s="8">
        <v>7550</v>
      </c>
      <c r="Z55" s="3">
        <v>355</v>
      </c>
      <c r="AH55" s="15">
        <v>56000</v>
      </c>
    </row>
    <row r="56" spans="4:34" ht="15.6" x14ac:dyDescent="0.25">
      <c r="D56" s="3">
        <v>53</v>
      </c>
      <c r="L56" s="1">
        <v>36</v>
      </c>
      <c r="N56" s="8">
        <v>31000</v>
      </c>
      <c r="P56" s="7">
        <v>2300</v>
      </c>
      <c r="R56" s="3">
        <v>1800</v>
      </c>
      <c r="V56" s="4">
        <v>27</v>
      </c>
      <c r="X56" s="8">
        <v>7600</v>
      </c>
      <c r="Z56" s="3">
        <v>360</v>
      </c>
      <c r="AH56" s="15">
        <v>57000</v>
      </c>
    </row>
    <row r="57" spans="4:34" ht="15.6" x14ac:dyDescent="0.25">
      <c r="D57" s="3">
        <v>54</v>
      </c>
      <c r="L57" s="1">
        <v>37</v>
      </c>
      <c r="N57" s="8">
        <v>31500</v>
      </c>
      <c r="P57" s="7">
        <v>2325</v>
      </c>
      <c r="R57" s="3">
        <v>1825</v>
      </c>
      <c r="V57" s="4">
        <v>27.5</v>
      </c>
      <c r="X57" s="8">
        <v>7650</v>
      </c>
      <c r="Z57" s="3">
        <v>365</v>
      </c>
      <c r="AH57" s="15">
        <v>58000</v>
      </c>
    </row>
    <row r="58" spans="4:34" ht="15.6" x14ac:dyDescent="0.25">
      <c r="D58" s="3">
        <v>55</v>
      </c>
      <c r="L58" s="1">
        <v>38</v>
      </c>
      <c r="N58" s="8">
        <v>32000</v>
      </c>
      <c r="P58" s="7">
        <v>2350</v>
      </c>
      <c r="R58" s="3">
        <v>1850</v>
      </c>
      <c r="V58" s="4">
        <v>28</v>
      </c>
      <c r="X58" s="8">
        <v>7700</v>
      </c>
      <c r="Z58" s="3">
        <v>370</v>
      </c>
      <c r="AH58" s="15">
        <v>59000</v>
      </c>
    </row>
    <row r="59" spans="4:34" ht="15.6" x14ac:dyDescent="0.25">
      <c r="D59" s="3">
        <v>56</v>
      </c>
      <c r="L59" s="1">
        <v>39</v>
      </c>
      <c r="N59" s="8">
        <v>32500</v>
      </c>
      <c r="P59" s="7">
        <v>2375</v>
      </c>
      <c r="R59" s="3">
        <v>1875</v>
      </c>
      <c r="V59" s="4">
        <v>28.5</v>
      </c>
      <c r="X59" s="8">
        <v>7750</v>
      </c>
      <c r="Z59" s="3">
        <v>375</v>
      </c>
      <c r="AH59" s="15">
        <v>60000</v>
      </c>
    </row>
    <row r="60" spans="4:34" ht="15.6" x14ac:dyDescent="0.25">
      <c r="D60" s="3">
        <v>57</v>
      </c>
      <c r="L60" s="1">
        <v>40</v>
      </c>
      <c r="N60" s="8">
        <v>33000</v>
      </c>
      <c r="P60" s="7">
        <v>2400</v>
      </c>
      <c r="R60" s="3">
        <v>1900</v>
      </c>
      <c r="V60" s="4">
        <v>29</v>
      </c>
      <c r="X60" s="8">
        <v>7800</v>
      </c>
      <c r="Z60" s="3">
        <v>380</v>
      </c>
      <c r="AH60" s="15">
        <v>61000</v>
      </c>
    </row>
    <row r="61" spans="4:34" ht="15.6" x14ac:dyDescent="0.25">
      <c r="D61" s="3">
        <v>58</v>
      </c>
      <c r="L61" s="1">
        <v>41</v>
      </c>
      <c r="N61" s="8">
        <v>33500</v>
      </c>
      <c r="P61" s="7">
        <v>2425</v>
      </c>
      <c r="R61" s="3">
        <v>1925</v>
      </c>
      <c r="V61" s="4">
        <v>29.5</v>
      </c>
      <c r="X61" s="8">
        <v>7850</v>
      </c>
      <c r="Z61" s="3">
        <v>385</v>
      </c>
      <c r="AH61" s="15">
        <v>62000</v>
      </c>
    </row>
    <row r="62" spans="4:34" ht="15.6" x14ac:dyDescent="0.25">
      <c r="D62" s="3">
        <v>59</v>
      </c>
      <c r="L62" s="1">
        <v>42</v>
      </c>
      <c r="N62" s="8">
        <v>34000</v>
      </c>
      <c r="P62" s="7">
        <v>2450</v>
      </c>
      <c r="R62" s="3">
        <v>1950</v>
      </c>
      <c r="V62" s="4">
        <v>30</v>
      </c>
      <c r="X62" s="8">
        <v>7900</v>
      </c>
      <c r="Z62" s="3">
        <v>390</v>
      </c>
      <c r="AH62" s="15">
        <v>63000</v>
      </c>
    </row>
    <row r="63" spans="4:34" ht="15.6" x14ac:dyDescent="0.25">
      <c r="D63" s="3">
        <v>60</v>
      </c>
      <c r="L63" s="1">
        <v>43</v>
      </c>
      <c r="N63" s="8">
        <v>34500</v>
      </c>
      <c r="P63" s="7">
        <v>2475</v>
      </c>
      <c r="R63" s="3">
        <v>1975</v>
      </c>
      <c r="V63" s="4">
        <v>30.5</v>
      </c>
      <c r="X63" s="8">
        <v>7950</v>
      </c>
      <c r="Z63" s="3">
        <v>395</v>
      </c>
      <c r="AH63" s="15">
        <v>64000</v>
      </c>
    </row>
    <row r="64" spans="4:34" ht="15.6" x14ac:dyDescent="0.25">
      <c r="D64" s="3">
        <v>61</v>
      </c>
      <c r="L64" s="1">
        <v>44</v>
      </c>
      <c r="N64" s="8">
        <v>35000</v>
      </c>
      <c r="P64" s="7">
        <v>2500</v>
      </c>
      <c r="R64" s="3">
        <v>2000</v>
      </c>
      <c r="V64" s="4">
        <v>31</v>
      </c>
      <c r="X64" s="8">
        <v>8000</v>
      </c>
      <c r="Z64" s="3">
        <v>400</v>
      </c>
      <c r="AH64" s="15">
        <v>65000</v>
      </c>
    </row>
    <row r="65" spans="4:34" ht="15.6" x14ac:dyDescent="0.25">
      <c r="D65" s="3">
        <v>62</v>
      </c>
      <c r="L65" s="1">
        <v>45</v>
      </c>
      <c r="N65" s="8">
        <v>35500</v>
      </c>
      <c r="P65" s="7">
        <v>2525</v>
      </c>
      <c r="R65" s="3">
        <v>2025</v>
      </c>
      <c r="V65" s="4">
        <v>31.5</v>
      </c>
      <c r="X65" s="8">
        <v>8050</v>
      </c>
      <c r="AH65" s="15">
        <v>66000</v>
      </c>
    </row>
    <row r="66" spans="4:34" ht="15.6" x14ac:dyDescent="0.25">
      <c r="D66" s="3">
        <v>63</v>
      </c>
      <c r="L66" s="1">
        <v>46</v>
      </c>
      <c r="N66" s="8">
        <v>36000</v>
      </c>
      <c r="P66" s="7">
        <v>2550</v>
      </c>
      <c r="R66" s="3">
        <v>2050</v>
      </c>
      <c r="V66" s="4">
        <v>32</v>
      </c>
      <c r="X66" s="8">
        <v>8100</v>
      </c>
      <c r="AH66" s="15">
        <v>67000</v>
      </c>
    </row>
    <row r="67" spans="4:34" ht="15.6" x14ac:dyDescent="0.25">
      <c r="D67" s="3">
        <v>64</v>
      </c>
      <c r="L67" s="1">
        <v>47</v>
      </c>
      <c r="N67" s="8">
        <v>36500</v>
      </c>
      <c r="P67" s="7">
        <v>2575</v>
      </c>
      <c r="R67" s="3">
        <v>2075</v>
      </c>
      <c r="V67" s="4">
        <v>32.5</v>
      </c>
      <c r="X67" s="8">
        <v>8150</v>
      </c>
      <c r="AH67" s="15">
        <v>68000</v>
      </c>
    </row>
    <row r="68" spans="4:34" ht="15.6" x14ac:dyDescent="0.25">
      <c r="D68" s="3">
        <v>65</v>
      </c>
      <c r="L68" s="1">
        <v>48</v>
      </c>
      <c r="N68" s="8">
        <v>37000</v>
      </c>
      <c r="P68" s="7">
        <v>2600</v>
      </c>
      <c r="R68" s="3">
        <v>2100</v>
      </c>
      <c r="V68" s="4">
        <v>33</v>
      </c>
      <c r="X68" s="8">
        <v>8200</v>
      </c>
      <c r="AH68" s="15">
        <v>69000</v>
      </c>
    </row>
    <row r="69" spans="4:34" ht="15.6" x14ac:dyDescent="0.25">
      <c r="D69" s="3">
        <v>66</v>
      </c>
      <c r="L69" s="1">
        <v>49</v>
      </c>
      <c r="N69" s="8">
        <v>37500</v>
      </c>
      <c r="P69" s="7">
        <v>2625</v>
      </c>
      <c r="R69" s="3">
        <v>2125</v>
      </c>
      <c r="V69" s="4">
        <v>33.5</v>
      </c>
      <c r="X69" s="8">
        <v>8250</v>
      </c>
      <c r="AH69" s="15">
        <v>70000</v>
      </c>
    </row>
    <row r="70" spans="4:34" ht="15.6" x14ac:dyDescent="0.25">
      <c r="D70" s="3">
        <v>67</v>
      </c>
      <c r="L70" s="1">
        <v>50</v>
      </c>
      <c r="N70" s="8">
        <v>38000</v>
      </c>
      <c r="P70" s="7">
        <v>2650</v>
      </c>
      <c r="R70" s="3">
        <v>2150</v>
      </c>
      <c r="V70" s="4">
        <v>34</v>
      </c>
      <c r="X70" s="8">
        <v>8300</v>
      </c>
      <c r="AH70" s="15">
        <v>71000</v>
      </c>
    </row>
    <row r="71" spans="4:34" ht="15.6" x14ac:dyDescent="0.25">
      <c r="D71" s="3">
        <v>68</v>
      </c>
      <c r="L71" s="1">
        <v>51</v>
      </c>
      <c r="N71" s="8">
        <v>38500</v>
      </c>
      <c r="P71" s="7">
        <v>2675</v>
      </c>
      <c r="R71" s="3">
        <v>2175</v>
      </c>
      <c r="V71" s="4">
        <v>34.5</v>
      </c>
      <c r="X71" s="8">
        <v>8350</v>
      </c>
      <c r="AH71" s="15">
        <v>72000</v>
      </c>
    </row>
    <row r="72" spans="4:34" ht="15.6" x14ac:dyDescent="0.25">
      <c r="D72" s="3">
        <v>69</v>
      </c>
      <c r="L72" s="1">
        <v>52</v>
      </c>
      <c r="N72" s="8">
        <v>39000</v>
      </c>
      <c r="P72" s="7">
        <v>2700</v>
      </c>
      <c r="R72" s="3">
        <v>2200</v>
      </c>
      <c r="V72" s="4">
        <v>35</v>
      </c>
      <c r="X72" s="8">
        <v>8400</v>
      </c>
      <c r="AH72" s="15">
        <v>73000</v>
      </c>
    </row>
    <row r="73" spans="4:34" ht="15.6" x14ac:dyDescent="0.25">
      <c r="D73" s="3">
        <v>70</v>
      </c>
      <c r="L73" s="1">
        <v>53</v>
      </c>
      <c r="N73" s="8">
        <v>39500</v>
      </c>
      <c r="P73" s="7">
        <v>2725</v>
      </c>
      <c r="R73" s="3">
        <v>2225</v>
      </c>
      <c r="V73" s="4">
        <v>35.5</v>
      </c>
      <c r="X73" s="8">
        <v>8450</v>
      </c>
      <c r="AH73" s="15">
        <v>74000</v>
      </c>
    </row>
    <row r="74" spans="4:34" ht="15.6" x14ac:dyDescent="0.25">
      <c r="D74" s="3">
        <v>71</v>
      </c>
      <c r="L74" s="1">
        <v>54</v>
      </c>
      <c r="N74" s="8">
        <v>40000</v>
      </c>
      <c r="P74" s="7">
        <v>2750</v>
      </c>
      <c r="R74" s="3">
        <v>2250</v>
      </c>
      <c r="V74" s="4">
        <v>36</v>
      </c>
      <c r="X74" s="8">
        <v>8500</v>
      </c>
      <c r="AH74" s="15">
        <v>75000</v>
      </c>
    </row>
    <row r="75" spans="4:34" ht="15.6" x14ac:dyDescent="0.25">
      <c r="D75" s="3">
        <v>72</v>
      </c>
      <c r="L75" s="1">
        <v>55</v>
      </c>
      <c r="N75" s="8">
        <v>40500</v>
      </c>
      <c r="P75" s="7">
        <v>2775</v>
      </c>
      <c r="R75" s="3">
        <v>2275</v>
      </c>
      <c r="V75" s="4">
        <v>36.5</v>
      </c>
      <c r="X75" s="8">
        <v>8550</v>
      </c>
      <c r="AH75" s="15">
        <v>76000</v>
      </c>
    </row>
    <row r="76" spans="4:34" ht="15.6" x14ac:dyDescent="0.25">
      <c r="D76" s="3">
        <v>73</v>
      </c>
      <c r="L76" s="1">
        <v>56</v>
      </c>
      <c r="N76" s="8">
        <v>41000</v>
      </c>
      <c r="P76" s="7">
        <v>2800</v>
      </c>
      <c r="R76" s="3">
        <v>2300</v>
      </c>
      <c r="V76" s="4">
        <v>37</v>
      </c>
      <c r="X76" s="8">
        <v>8600</v>
      </c>
      <c r="AH76" s="15">
        <v>77000</v>
      </c>
    </row>
    <row r="77" spans="4:34" ht="15.6" x14ac:dyDescent="0.25">
      <c r="D77" s="3">
        <v>74</v>
      </c>
      <c r="L77" s="1">
        <v>57</v>
      </c>
      <c r="N77" s="8">
        <v>41500</v>
      </c>
      <c r="P77" s="7">
        <v>2825</v>
      </c>
      <c r="R77" s="3">
        <v>2325</v>
      </c>
      <c r="V77" s="4">
        <v>37.5</v>
      </c>
      <c r="X77" s="8">
        <v>8650</v>
      </c>
      <c r="AH77" s="15">
        <v>78000</v>
      </c>
    </row>
    <row r="78" spans="4:34" ht="15.6" x14ac:dyDescent="0.25">
      <c r="D78" s="3">
        <v>75</v>
      </c>
      <c r="L78" s="1">
        <v>58</v>
      </c>
      <c r="N78" s="8">
        <v>42000</v>
      </c>
      <c r="P78" s="7">
        <v>2850</v>
      </c>
      <c r="R78" s="3">
        <v>2350</v>
      </c>
      <c r="V78" s="4">
        <v>38</v>
      </c>
      <c r="X78" s="8">
        <v>8700</v>
      </c>
      <c r="AH78" s="15">
        <v>79000</v>
      </c>
    </row>
    <row r="79" spans="4:34" ht="15.6" x14ac:dyDescent="0.25">
      <c r="D79" s="3">
        <v>76</v>
      </c>
      <c r="L79" s="1">
        <v>59</v>
      </c>
      <c r="N79" s="8">
        <v>42500</v>
      </c>
      <c r="P79" s="7">
        <v>2875</v>
      </c>
      <c r="R79" s="3">
        <v>2375</v>
      </c>
      <c r="V79" s="4">
        <v>38.5</v>
      </c>
      <c r="X79" s="8">
        <v>8750</v>
      </c>
      <c r="AH79" s="15">
        <v>80000</v>
      </c>
    </row>
    <row r="80" spans="4:34" ht="15.6" x14ac:dyDescent="0.25">
      <c r="D80" s="3">
        <v>77</v>
      </c>
      <c r="L80" s="1">
        <v>60</v>
      </c>
      <c r="N80" s="8">
        <v>43000</v>
      </c>
      <c r="P80" s="7">
        <v>2900</v>
      </c>
      <c r="R80" s="3">
        <v>2400</v>
      </c>
      <c r="V80" s="4">
        <v>39</v>
      </c>
      <c r="X80" s="8">
        <v>8800</v>
      </c>
      <c r="AH80" s="15">
        <v>81000</v>
      </c>
    </row>
    <row r="81" spans="4:34" ht="15.6" x14ac:dyDescent="0.25">
      <c r="D81" s="3">
        <v>78</v>
      </c>
      <c r="L81" s="1">
        <v>61</v>
      </c>
      <c r="N81" s="8">
        <v>43500</v>
      </c>
      <c r="P81" s="7">
        <v>2925</v>
      </c>
      <c r="R81" s="3">
        <v>2425</v>
      </c>
      <c r="V81" s="4">
        <v>39.5</v>
      </c>
      <c r="X81" s="8">
        <v>8850</v>
      </c>
      <c r="AH81" s="15">
        <v>82000</v>
      </c>
    </row>
    <row r="82" spans="4:34" ht="15.6" x14ac:dyDescent="0.25">
      <c r="D82" s="3">
        <v>79</v>
      </c>
      <c r="L82" s="1">
        <v>62</v>
      </c>
      <c r="N82" s="8">
        <v>44000</v>
      </c>
      <c r="P82" s="7">
        <v>2950</v>
      </c>
      <c r="R82" s="3">
        <v>2450</v>
      </c>
      <c r="V82" s="4">
        <v>40</v>
      </c>
      <c r="X82" s="8">
        <v>8900</v>
      </c>
      <c r="AH82" s="15">
        <v>83000</v>
      </c>
    </row>
    <row r="83" spans="4:34" ht="15.6" x14ac:dyDescent="0.25">
      <c r="D83" s="3">
        <v>80</v>
      </c>
      <c r="L83" s="1">
        <v>63</v>
      </c>
      <c r="N83" s="8">
        <v>44500</v>
      </c>
      <c r="P83" s="7">
        <v>2975</v>
      </c>
      <c r="R83" s="3">
        <v>2475</v>
      </c>
      <c r="V83" s="4">
        <v>40.5</v>
      </c>
      <c r="X83" s="8">
        <v>8950</v>
      </c>
      <c r="AH83" s="15">
        <v>84000</v>
      </c>
    </row>
    <row r="84" spans="4:34" ht="15.6" x14ac:dyDescent="0.25">
      <c r="D84" s="3">
        <v>81</v>
      </c>
      <c r="L84" s="1">
        <v>64</v>
      </c>
      <c r="N84" s="8">
        <v>45000</v>
      </c>
      <c r="P84" s="7">
        <v>3000</v>
      </c>
      <c r="R84" s="3">
        <v>2500</v>
      </c>
      <c r="V84" s="4">
        <v>41</v>
      </c>
      <c r="X84" s="8">
        <v>9000</v>
      </c>
      <c r="AH84" s="15">
        <v>85000</v>
      </c>
    </row>
    <row r="85" spans="4:34" ht="15.6" x14ac:dyDescent="0.25">
      <c r="D85" s="3">
        <v>82</v>
      </c>
      <c r="L85" s="1">
        <v>65</v>
      </c>
      <c r="N85" s="8">
        <v>45500</v>
      </c>
      <c r="P85" s="7">
        <v>3025</v>
      </c>
      <c r="R85" s="3">
        <v>2525</v>
      </c>
      <c r="V85" s="4">
        <v>41.5</v>
      </c>
      <c r="X85" s="8">
        <v>9050</v>
      </c>
      <c r="AH85" s="15">
        <v>86000</v>
      </c>
    </row>
    <row r="86" spans="4:34" ht="15.6" x14ac:dyDescent="0.25">
      <c r="D86" s="3">
        <v>83</v>
      </c>
      <c r="L86" s="1">
        <v>66</v>
      </c>
      <c r="N86" s="8">
        <v>46000</v>
      </c>
      <c r="P86" s="7">
        <v>3050</v>
      </c>
      <c r="R86" s="3">
        <v>2550</v>
      </c>
      <c r="V86" s="4">
        <v>42</v>
      </c>
      <c r="X86" s="8">
        <v>9100</v>
      </c>
      <c r="AH86" s="15">
        <v>87000</v>
      </c>
    </row>
    <row r="87" spans="4:34" ht="15.6" x14ac:dyDescent="0.25">
      <c r="D87" s="3">
        <v>84</v>
      </c>
      <c r="L87" s="1">
        <v>67</v>
      </c>
      <c r="N87" s="8">
        <v>46500</v>
      </c>
      <c r="P87" s="7">
        <v>3075</v>
      </c>
      <c r="R87" s="3">
        <v>2575</v>
      </c>
      <c r="V87" s="4">
        <v>42.5</v>
      </c>
      <c r="X87" s="8">
        <v>9150</v>
      </c>
      <c r="AH87" s="15">
        <v>88000</v>
      </c>
    </row>
    <row r="88" spans="4:34" ht="15.6" x14ac:dyDescent="0.25">
      <c r="D88" s="3">
        <v>85</v>
      </c>
      <c r="L88" s="1">
        <v>68</v>
      </c>
      <c r="N88" s="8">
        <v>47000</v>
      </c>
      <c r="P88" s="7">
        <v>3100</v>
      </c>
      <c r="R88" s="3">
        <v>2600</v>
      </c>
      <c r="V88" s="4">
        <v>43</v>
      </c>
      <c r="X88" s="8">
        <v>9200</v>
      </c>
      <c r="AH88" s="15">
        <v>89000</v>
      </c>
    </row>
    <row r="89" spans="4:34" ht="15.6" x14ac:dyDescent="0.25">
      <c r="D89" s="3">
        <v>86</v>
      </c>
      <c r="L89" s="1">
        <v>69</v>
      </c>
      <c r="N89" s="8">
        <v>47500</v>
      </c>
      <c r="P89" s="7">
        <v>3125</v>
      </c>
      <c r="R89" s="3">
        <v>2625</v>
      </c>
      <c r="V89" s="4">
        <v>43.5</v>
      </c>
      <c r="X89" s="8">
        <v>9250</v>
      </c>
      <c r="AH89" s="15">
        <v>90000</v>
      </c>
    </row>
    <row r="90" spans="4:34" ht="15.6" x14ac:dyDescent="0.25">
      <c r="D90" s="3">
        <v>87</v>
      </c>
      <c r="L90" s="1">
        <v>70</v>
      </c>
      <c r="N90" s="8">
        <v>48000</v>
      </c>
      <c r="P90" s="7">
        <v>3150</v>
      </c>
      <c r="R90" s="3">
        <v>2650</v>
      </c>
      <c r="V90" s="4">
        <v>44</v>
      </c>
      <c r="X90" s="8">
        <v>9300</v>
      </c>
      <c r="AH90" s="15">
        <v>91000</v>
      </c>
    </row>
    <row r="91" spans="4:34" ht="15.6" x14ac:dyDescent="0.25">
      <c r="D91" s="3">
        <v>88</v>
      </c>
      <c r="L91" s="1">
        <v>71</v>
      </c>
      <c r="N91" s="8">
        <v>48500</v>
      </c>
      <c r="P91" s="7">
        <v>3175</v>
      </c>
      <c r="R91" s="3">
        <v>2675</v>
      </c>
      <c r="V91" s="4">
        <v>44.5</v>
      </c>
      <c r="X91" s="8">
        <v>9350</v>
      </c>
      <c r="AH91" s="15">
        <v>92000</v>
      </c>
    </row>
    <row r="92" spans="4:34" ht="15.6" x14ac:dyDescent="0.25">
      <c r="D92" s="3">
        <v>89</v>
      </c>
      <c r="L92" s="1">
        <v>72</v>
      </c>
      <c r="N92" s="8">
        <v>49000</v>
      </c>
      <c r="P92" s="7">
        <v>3200</v>
      </c>
      <c r="R92" s="3">
        <v>2700</v>
      </c>
      <c r="V92" s="4">
        <v>45</v>
      </c>
      <c r="X92" s="8">
        <v>9400</v>
      </c>
      <c r="AH92" s="15">
        <v>93000</v>
      </c>
    </row>
    <row r="93" spans="4:34" ht="15.6" x14ac:dyDescent="0.25">
      <c r="D93" s="3">
        <v>90</v>
      </c>
      <c r="L93" s="1">
        <v>73</v>
      </c>
      <c r="N93" s="8">
        <v>49500</v>
      </c>
      <c r="P93" s="7">
        <v>3225</v>
      </c>
      <c r="R93" s="3">
        <v>2725</v>
      </c>
      <c r="V93" s="4">
        <v>45.5</v>
      </c>
      <c r="X93" s="8">
        <v>9450</v>
      </c>
      <c r="AH93" s="15">
        <v>94000</v>
      </c>
    </row>
    <row r="94" spans="4:34" ht="15.6" x14ac:dyDescent="0.25">
      <c r="D94" s="3">
        <v>91</v>
      </c>
      <c r="L94" s="1">
        <v>74</v>
      </c>
      <c r="N94" s="8">
        <v>50000</v>
      </c>
      <c r="P94" s="7">
        <v>3250</v>
      </c>
      <c r="R94" s="3">
        <v>2750</v>
      </c>
      <c r="V94" s="4">
        <v>46</v>
      </c>
      <c r="X94" s="8">
        <v>9500</v>
      </c>
      <c r="AH94" s="15">
        <v>95000</v>
      </c>
    </row>
    <row r="95" spans="4:34" ht="15.6" x14ac:dyDescent="0.25">
      <c r="D95" s="3">
        <v>92</v>
      </c>
      <c r="L95" s="1">
        <v>75</v>
      </c>
      <c r="N95" s="8">
        <v>50500</v>
      </c>
      <c r="P95" s="7">
        <v>3275</v>
      </c>
      <c r="R95" s="3">
        <v>2775</v>
      </c>
      <c r="V95" s="4">
        <v>46.5</v>
      </c>
      <c r="X95" s="8">
        <v>9550</v>
      </c>
      <c r="AH95" s="15">
        <v>96000</v>
      </c>
    </row>
    <row r="96" spans="4:34" ht="15.6" x14ac:dyDescent="0.25">
      <c r="D96" s="3">
        <v>93</v>
      </c>
      <c r="L96" s="1">
        <v>76</v>
      </c>
      <c r="N96" s="8">
        <v>51000</v>
      </c>
      <c r="P96" s="7">
        <v>3300</v>
      </c>
      <c r="R96" s="3">
        <v>2800</v>
      </c>
      <c r="V96" s="4">
        <v>47</v>
      </c>
      <c r="X96" s="8">
        <v>9600</v>
      </c>
      <c r="AH96" s="15">
        <v>97000</v>
      </c>
    </row>
    <row r="97" spans="4:34" ht="15.6" x14ac:dyDescent="0.25">
      <c r="D97" s="3">
        <v>94</v>
      </c>
      <c r="L97" s="1">
        <v>77</v>
      </c>
      <c r="N97" s="8">
        <v>51500</v>
      </c>
      <c r="P97" s="7">
        <v>3325</v>
      </c>
      <c r="R97" s="3">
        <v>2825</v>
      </c>
      <c r="V97" s="4">
        <v>47.5</v>
      </c>
      <c r="X97" s="8">
        <v>9650</v>
      </c>
      <c r="AH97" s="15">
        <v>98000</v>
      </c>
    </row>
    <row r="98" spans="4:34" ht="15.6" x14ac:dyDescent="0.25">
      <c r="D98" s="3">
        <v>95</v>
      </c>
      <c r="L98" s="1">
        <v>78</v>
      </c>
      <c r="N98" s="8">
        <v>52000</v>
      </c>
      <c r="P98" s="7">
        <v>3350</v>
      </c>
      <c r="R98" s="3">
        <v>2850</v>
      </c>
      <c r="V98" s="4">
        <v>48</v>
      </c>
      <c r="X98" s="8">
        <v>9700</v>
      </c>
      <c r="AH98" s="15">
        <v>99000</v>
      </c>
    </row>
    <row r="99" spans="4:34" ht="15.6" x14ac:dyDescent="0.25">
      <c r="D99" s="3">
        <v>96</v>
      </c>
      <c r="L99" s="1">
        <v>79</v>
      </c>
      <c r="N99" s="8">
        <v>52500</v>
      </c>
      <c r="P99" s="7">
        <v>3375</v>
      </c>
      <c r="R99" s="3">
        <v>2875</v>
      </c>
      <c r="V99" s="4">
        <v>48.5</v>
      </c>
      <c r="X99" s="8">
        <v>9750</v>
      </c>
      <c r="AH99" s="15">
        <v>100000</v>
      </c>
    </row>
    <row r="100" spans="4:34" ht="15.6" x14ac:dyDescent="0.25">
      <c r="D100" s="3">
        <v>97</v>
      </c>
      <c r="L100" s="1">
        <v>80</v>
      </c>
      <c r="N100" s="8">
        <v>53000</v>
      </c>
      <c r="P100" s="7">
        <v>3400</v>
      </c>
      <c r="R100" s="3">
        <v>2900</v>
      </c>
      <c r="V100" s="4">
        <v>49</v>
      </c>
      <c r="X100" s="8">
        <v>9800</v>
      </c>
      <c r="AH100" s="15">
        <v>101000</v>
      </c>
    </row>
    <row r="101" spans="4:34" ht="15.6" x14ac:dyDescent="0.25">
      <c r="D101" s="3">
        <v>98</v>
      </c>
      <c r="L101" s="1">
        <v>81</v>
      </c>
      <c r="N101" s="8">
        <v>53500</v>
      </c>
      <c r="P101" s="7">
        <v>3425</v>
      </c>
      <c r="R101" s="3">
        <v>2925</v>
      </c>
      <c r="V101" s="4">
        <v>49.5</v>
      </c>
      <c r="X101" s="8">
        <v>9850</v>
      </c>
      <c r="AH101" s="15">
        <v>102000</v>
      </c>
    </row>
    <row r="102" spans="4:34" ht="15.6" x14ac:dyDescent="0.25">
      <c r="D102" s="3">
        <v>99</v>
      </c>
      <c r="L102" s="1">
        <v>82</v>
      </c>
      <c r="N102" s="8">
        <v>54000</v>
      </c>
      <c r="P102" s="7">
        <v>3450</v>
      </c>
      <c r="R102" s="3">
        <v>2950</v>
      </c>
      <c r="V102" s="4">
        <v>50</v>
      </c>
      <c r="X102" s="8">
        <v>9900</v>
      </c>
      <c r="AH102" s="15">
        <v>103000</v>
      </c>
    </row>
    <row r="103" spans="4:34" ht="15.6" x14ac:dyDescent="0.25">
      <c r="D103" s="3">
        <v>100</v>
      </c>
      <c r="L103" s="1">
        <v>83</v>
      </c>
      <c r="N103" s="8">
        <v>54500</v>
      </c>
      <c r="P103" s="7">
        <v>3475</v>
      </c>
      <c r="R103" s="3">
        <v>2975</v>
      </c>
      <c r="X103" s="8">
        <v>9950</v>
      </c>
      <c r="AH103" s="15">
        <v>104000</v>
      </c>
    </row>
    <row r="104" spans="4:34" ht="15.6" x14ac:dyDescent="0.25">
      <c r="D104" s="3">
        <v>101</v>
      </c>
      <c r="L104" s="1">
        <v>84</v>
      </c>
      <c r="N104" s="8">
        <v>55000</v>
      </c>
      <c r="P104" s="7">
        <v>3500</v>
      </c>
      <c r="R104" s="3">
        <v>3000</v>
      </c>
      <c r="X104" s="8">
        <v>10000</v>
      </c>
      <c r="AH104" s="15">
        <v>105000</v>
      </c>
    </row>
    <row r="105" spans="4:34" ht="15.6" x14ac:dyDescent="0.25">
      <c r="D105" s="3">
        <v>102</v>
      </c>
      <c r="L105" s="1">
        <v>85</v>
      </c>
      <c r="N105" s="8">
        <v>55500</v>
      </c>
      <c r="P105" s="7">
        <v>3525</v>
      </c>
      <c r="R105" s="3">
        <v>3025</v>
      </c>
      <c r="X105" s="8">
        <v>10050</v>
      </c>
      <c r="AH105" s="15">
        <v>106000</v>
      </c>
    </row>
    <row r="106" spans="4:34" ht="15.6" x14ac:dyDescent="0.25">
      <c r="D106" s="3">
        <v>103</v>
      </c>
      <c r="L106" s="1">
        <v>86</v>
      </c>
      <c r="N106" s="8">
        <v>56000</v>
      </c>
      <c r="P106" s="7">
        <v>3550</v>
      </c>
      <c r="R106" s="3">
        <v>3050</v>
      </c>
      <c r="X106" s="8">
        <v>10100</v>
      </c>
      <c r="AH106" s="15">
        <v>107000</v>
      </c>
    </row>
    <row r="107" spans="4:34" ht="15.6" x14ac:dyDescent="0.25">
      <c r="D107" s="3">
        <v>104</v>
      </c>
      <c r="L107" s="1">
        <v>87</v>
      </c>
      <c r="N107" s="8">
        <v>56500</v>
      </c>
      <c r="P107" s="7">
        <v>3575</v>
      </c>
      <c r="R107" s="3">
        <v>3075</v>
      </c>
      <c r="X107" s="8">
        <v>10150</v>
      </c>
      <c r="AH107" s="15">
        <v>108000</v>
      </c>
    </row>
    <row r="108" spans="4:34" ht="15.6" x14ac:dyDescent="0.25">
      <c r="D108" s="3">
        <v>105</v>
      </c>
      <c r="L108" s="1">
        <v>88</v>
      </c>
      <c r="N108" s="8">
        <v>57000</v>
      </c>
      <c r="P108" s="7">
        <v>3600</v>
      </c>
      <c r="R108" s="3">
        <v>3100</v>
      </c>
      <c r="X108" s="8">
        <v>10200</v>
      </c>
      <c r="AH108" s="15">
        <v>109000</v>
      </c>
    </row>
    <row r="109" spans="4:34" ht="15.6" x14ac:dyDescent="0.25">
      <c r="D109" s="3">
        <v>106</v>
      </c>
      <c r="L109" s="1">
        <v>89</v>
      </c>
      <c r="N109" s="8">
        <v>57500</v>
      </c>
      <c r="P109" s="7">
        <v>3625</v>
      </c>
      <c r="R109" s="3">
        <v>3125</v>
      </c>
      <c r="X109" s="8">
        <v>10250</v>
      </c>
      <c r="AH109" s="15">
        <v>110000</v>
      </c>
    </row>
    <row r="110" spans="4:34" ht="15.6" x14ac:dyDescent="0.25">
      <c r="D110" s="3">
        <v>107</v>
      </c>
      <c r="L110" s="1">
        <v>90</v>
      </c>
      <c r="N110" s="8">
        <v>58000</v>
      </c>
      <c r="P110" s="7">
        <v>3650</v>
      </c>
      <c r="R110" s="3">
        <v>3150</v>
      </c>
      <c r="X110" s="8">
        <v>10300</v>
      </c>
      <c r="AH110" s="15">
        <v>111000</v>
      </c>
    </row>
    <row r="111" spans="4:34" ht="15.6" x14ac:dyDescent="0.25">
      <c r="D111" s="3">
        <v>108</v>
      </c>
      <c r="L111" s="1">
        <v>91</v>
      </c>
      <c r="N111" s="8">
        <v>58500</v>
      </c>
      <c r="P111" s="7">
        <v>3675</v>
      </c>
      <c r="R111" s="3">
        <v>3175</v>
      </c>
      <c r="X111" s="8">
        <v>10350</v>
      </c>
      <c r="AH111" s="15">
        <v>112000</v>
      </c>
    </row>
    <row r="112" spans="4:34" ht="15.6" x14ac:dyDescent="0.25">
      <c r="D112" s="3">
        <v>109</v>
      </c>
      <c r="L112" s="1">
        <v>92</v>
      </c>
      <c r="N112" s="8">
        <v>59000</v>
      </c>
      <c r="P112" s="7">
        <v>3700</v>
      </c>
      <c r="R112" s="3">
        <v>3200</v>
      </c>
      <c r="X112" s="8">
        <v>10400</v>
      </c>
      <c r="AH112" s="15">
        <v>113000</v>
      </c>
    </row>
    <row r="113" spans="4:34" ht="15.6" x14ac:dyDescent="0.25">
      <c r="D113" s="3">
        <v>110</v>
      </c>
      <c r="L113" s="1">
        <v>93</v>
      </c>
      <c r="N113" s="8">
        <v>59500</v>
      </c>
      <c r="P113" s="7">
        <v>3725</v>
      </c>
      <c r="R113" s="3">
        <v>3225</v>
      </c>
      <c r="X113" s="8">
        <v>10450</v>
      </c>
      <c r="AH113" s="15">
        <v>114000</v>
      </c>
    </row>
    <row r="114" spans="4:34" ht="15.6" x14ac:dyDescent="0.25">
      <c r="D114" s="3">
        <v>111</v>
      </c>
      <c r="L114" s="1">
        <v>94</v>
      </c>
      <c r="N114" s="8">
        <v>60000</v>
      </c>
      <c r="P114" s="7">
        <v>3750</v>
      </c>
      <c r="R114" s="3">
        <v>3250</v>
      </c>
      <c r="X114" s="8">
        <v>10500</v>
      </c>
      <c r="AH114" s="15">
        <v>115000</v>
      </c>
    </row>
    <row r="115" spans="4:34" ht="15.6" x14ac:dyDescent="0.25">
      <c r="D115" s="3">
        <v>112</v>
      </c>
      <c r="L115" s="1">
        <v>95</v>
      </c>
      <c r="N115" s="8">
        <v>60500</v>
      </c>
      <c r="P115" s="7">
        <v>3775</v>
      </c>
      <c r="R115" s="3">
        <v>3275</v>
      </c>
      <c r="X115" s="8">
        <v>10550</v>
      </c>
      <c r="AH115" s="15">
        <v>116000</v>
      </c>
    </row>
    <row r="116" spans="4:34" ht="15.6" x14ac:dyDescent="0.25">
      <c r="D116" s="3">
        <v>113</v>
      </c>
      <c r="L116" s="1">
        <v>96</v>
      </c>
      <c r="N116" s="8">
        <v>61000</v>
      </c>
      <c r="P116" s="7">
        <v>3800</v>
      </c>
      <c r="R116" s="3">
        <v>3300</v>
      </c>
      <c r="X116" s="8">
        <v>10600</v>
      </c>
      <c r="AH116" s="15">
        <v>117000</v>
      </c>
    </row>
    <row r="117" spans="4:34" ht="15.6" x14ac:dyDescent="0.25">
      <c r="D117" s="3">
        <v>114</v>
      </c>
      <c r="L117" s="1">
        <v>97</v>
      </c>
      <c r="N117" s="8">
        <v>61500</v>
      </c>
      <c r="P117" s="7">
        <v>3825</v>
      </c>
      <c r="R117" s="3">
        <v>3325</v>
      </c>
      <c r="X117" s="8">
        <v>10650</v>
      </c>
      <c r="AH117" s="15">
        <v>118000</v>
      </c>
    </row>
    <row r="118" spans="4:34" ht="15.6" x14ac:dyDescent="0.25">
      <c r="D118" s="3">
        <v>115</v>
      </c>
      <c r="L118" s="1">
        <v>98</v>
      </c>
      <c r="N118" s="8">
        <v>62000</v>
      </c>
      <c r="P118" s="7">
        <v>3850</v>
      </c>
      <c r="R118" s="3">
        <v>3350</v>
      </c>
      <c r="X118" s="8">
        <v>10700</v>
      </c>
      <c r="AH118" s="15">
        <v>119000</v>
      </c>
    </row>
    <row r="119" spans="4:34" ht="15.6" x14ac:dyDescent="0.25">
      <c r="D119" s="3">
        <v>116</v>
      </c>
      <c r="L119" s="1">
        <v>99</v>
      </c>
      <c r="N119" s="8">
        <v>62500</v>
      </c>
      <c r="P119" s="7">
        <v>3875</v>
      </c>
      <c r="R119" s="3">
        <v>3375</v>
      </c>
      <c r="X119" s="8">
        <v>10750</v>
      </c>
      <c r="AH119" s="15">
        <v>120000</v>
      </c>
    </row>
    <row r="120" spans="4:34" ht="15.6" x14ac:dyDescent="0.25">
      <c r="D120" s="3">
        <v>117</v>
      </c>
      <c r="L120" s="1">
        <v>100</v>
      </c>
      <c r="N120" s="8">
        <v>63000</v>
      </c>
      <c r="P120" s="7">
        <v>3900</v>
      </c>
      <c r="R120" s="3">
        <v>3400</v>
      </c>
      <c r="X120" s="8">
        <v>10800</v>
      </c>
      <c r="AH120" s="15">
        <v>121000</v>
      </c>
    </row>
    <row r="121" spans="4:34" ht="15.6" x14ac:dyDescent="0.25">
      <c r="D121" s="3">
        <v>118</v>
      </c>
      <c r="L121" s="1">
        <v>101</v>
      </c>
      <c r="N121" s="8">
        <v>63500</v>
      </c>
      <c r="P121" s="7">
        <v>3925</v>
      </c>
      <c r="R121" s="3">
        <v>3425</v>
      </c>
      <c r="X121" s="8">
        <v>10850</v>
      </c>
      <c r="AH121" s="15">
        <v>122000</v>
      </c>
    </row>
    <row r="122" spans="4:34" ht="15.6" x14ac:dyDescent="0.25">
      <c r="D122" s="3">
        <v>119</v>
      </c>
      <c r="L122" s="1">
        <v>102</v>
      </c>
      <c r="N122" s="8">
        <v>64000</v>
      </c>
      <c r="P122" s="7">
        <v>3950</v>
      </c>
      <c r="R122" s="3">
        <v>3450</v>
      </c>
      <c r="X122" s="8">
        <v>10900</v>
      </c>
      <c r="AH122" s="15">
        <v>123000</v>
      </c>
    </row>
    <row r="123" spans="4:34" ht="15.6" x14ac:dyDescent="0.25">
      <c r="D123" s="3">
        <v>120</v>
      </c>
      <c r="L123" s="1">
        <v>103</v>
      </c>
      <c r="N123" s="8">
        <v>64500</v>
      </c>
      <c r="P123" s="7">
        <v>3975</v>
      </c>
      <c r="R123" s="3">
        <v>3475</v>
      </c>
      <c r="X123" s="8">
        <v>10950</v>
      </c>
      <c r="AH123" s="15">
        <v>124000</v>
      </c>
    </row>
    <row r="124" spans="4:34" ht="15.6" x14ac:dyDescent="0.25">
      <c r="D124" s="3">
        <v>121</v>
      </c>
      <c r="L124" s="1">
        <v>104</v>
      </c>
      <c r="N124" s="8">
        <v>65000</v>
      </c>
      <c r="P124" s="7">
        <v>4000</v>
      </c>
      <c r="R124" s="3">
        <v>3500</v>
      </c>
      <c r="X124" s="8">
        <v>11000</v>
      </c>
      <c r="AH124" s="15">
        <v>125000</v>
      </c>
    </row>
    <row r="125" spans="4:34" ht="15.6" x14ac:dyDescent="0.25">
      <c r="D125" s="3">
        <v>122</v>
      </c>
      <c r="L125" s="1">
        <v>105</v>
      </c>
      <c r="N125" s="8">
        <v>65500</v>
      </c>
      <c r="P125" s="7">
        <v>4025</v>
      </c>
      <c r="R125" s="3">
        <v>3525</v>
      </c>
      <c r="X125" s="8">
        <v>11050</v>
      </c>
      <c r="AH125" s="15">
        <v>126000</v>
      </c>
    </row>
    <row r="126" spans="4:34" ht="15.6" x14ac:dyDescent="0.25">
      <c r="D126" s="3">
        <v>123</v>
      </c>
      <c r="L126" s="1">
        <v>106</v>
      </c>
      <c r="N126" s="8">
        <v>66000</v>
      </c>
      <c r="P126" s="7">
        <v>4050</v>
      </c>
      <c r="R126" s="3">
        <v>3550</v>
      </c>
      <c r="X126" s="8">
        <v>11100</v>
      </c>
      <c r="AH126" s="15">
        <v>127000</v>
      </c>
    </row>
    <row r="127" spans="4:34" ht="15.6" x14ac:dyDescent="0.25">
      <c r="D127" s="3">
        <v>124</v>
      </c>
      <c r="L127" s="1">
        <v>107</v>
      </c>
      <c r="N127" s="8">
        <v>66500</v>
      </c>
      <c r="P127" s="7">
        <v>4075</v>
      </c>
      <c r="R127" s="3">
        <v>3575</v>
      </c>
      <c r="X127" s="8">
        <v>11150</v>
      </c>
      <c r="AH127" s="15">
        <v>128000</v>
      </c>
    </row>
    <row r="128" spans="4:34" ht="15.6" x14ac:dyDescent="0.25">
      <c r="D128" s="3">
        <v>125</v>
      </c>
      <c r="L128" s="1">
        <v>108</v>
      </c>
      <c r="N128" s="8">
        <v>67000</v>
      </c>
      <c r="P128" s="7">
        <v>4100</v>
      </c>
      <c r="R128" s="3">
        <v>3600</v>
      </c>
      <c r="X128" s="8">
        <v>11200</v>
      </c>
      <c r="AH128" s="15">
        <v>129000</v>
      </c>
    </row>
    <row r="129" spans="4:34" ht="15.6" x14ac:dyDescent="0.25">
      <c r="D129" s="3">
        <v>126</v>
      </c>
      <c r="N129" s="8">
        <v>67500</v>
      </c>
      <c r="P129" s="7">
        <v>4125</v>
      </c>
      <c r="R129" s="3">
        <v>3625</v>
      </c>
      <c r="X129" s="8">
        <v>11250</v>
      </c>
      <c r="AH129" s="15">
        <v>130000</v>
      </c>
    </row>
    <row r="130" spans="4:34" ht="15.6" x14ac:dyDescent="0.25">
      <c r="D130" s="3">
        <v>127</v>
      </c>
      <c r="N130" s="8">
        <v>68000</v>
      </c>
      <c r="P130" s="7">
        <v>4150</v>
      </c>
      <c r="R130" s="3">
        <v>3650</v>
      </c>
      <c r="X130" s="8">
        <v>11300</v>
      </c>
      <c r="AH130" s="15">
        <v>131000</v>
      </c>
    </row>
    <row r="131" spans="4:34" ht="15.6" x14ac:dyDescent="0.25">
      <c r="D131" s="3">
        <v>128</v>
      </c>
      <c r="N131" s="8">
        <v>68500</v>
      </c>
      <c r="P131" s="7">
        <v>4175</v>
      </c>
      <c r="R131" s="3">
        <v>3675</v>
      </c>
      <c r="X131" s="8">
        <v>11350</v>
      </c>
      <c r="AH131" s="15">
        <v>132000</v>
      </c>
    </row>
    <row r="132" spans="4:34" ht="15.6" x14ac:dyDescent="0.25">
      <c r="D132" s="3">
        <v>129</v>
      </c>
      <c r="N132" s="8">
        <v>69000</v>
      </c>
      <c r="P132" s="7">
        <v>4200</v>
      </c>
      <c r="R132" s="3">
        <v>3700</v>
      </c>
      <c r="X132" s="8">
        <v>11400</v>
      </c>
      <c r="AH132" s="15">
        <v>133000</v>
      </c>
    </row>
    <row r="133" spans="4:34" ht="15.6" x14ac:dyDescent="0.25">
      <c r="D133" s="3">
        <v>130</v>
      </c>
      <c r="N133" s="8">
        <v>69500</v>
      </c>
      <c r="P133" s="7">
        <v>4225</v>
      </c>
      <c r="R133" s="3">
        <v>3725</v>
      </c>
      <c r="X133" s="8">
        <v>11450</v>
      </c>
      <c r="AH133" s="15">
        <v>134000</v>
      </c>
    </row>
    <row r="134" spans="4:34" ht="15.6" x14ac:dyDescent="0.25">
      <c r="D134" s="3">
        <v>131</v>
      </c>
      <c r="N134" s="8">
        <v>70000</v>
      </c>
      <c r="P134" s="7">
        <v>4250</v>
      </c>
      <c r="R134" s="3">
        <v>3750</v>
      </c>
      <c r="X134" s="8">
        <v>11500</v>
      </c>
      <c r="AH134" s="15">
        <v>135000</v>
      </c>
    </row>
    <row r="135" spans="4:34" ht="15.6" x14ac:dyDescent="0.25">
      <c r="D135" s="3">
        <v>132</v>
      </c>
      <c r="N135" s="8">
        <v>70500</v>
      </c>
      <c r="P135" s="7">
        <v>4275</v>
      </c>
      <c r="R135" s="3">
        <v>3775</v>
      </c>
      <c r="X135" s="8">
        <v>11550</v>
      </c>
      <c r="AH135" s="15">
        <v>136000</v>
      </c>
    </row>
    <row r="136" spans="4:34" ht="15.6" x14ac:dyDescent="0.25">
      <c r="D136" s="3">
        <v>133</v>
      </c>
      <c r="N136" s="8">
        <v>71000</v>
      </c>
      <c r="P136" s="7">
        <v>4300</v>
      </c>
      <c r="R136" s="3">
        <v>3800</v>
      </c>
      <c r="X136" s="8">
        <v>11600</v>
      </c>
      <c r="AH136" s="15">
        <v>137000</v>
      </c>
    </row>
    <row r="137" spans="4:34" ht="15.6" x14ac:dyDescent="0.25">
      <c r="D137" s="3">
        <v>134</v>
      </c>
      <c r="N137" s="8">
        <v>71500</v>
      </c>
      <c r="P137" s="7">
        <v>4325</v>
      </c>
      <c r="R137" s="3">
        <v>3825</v>
      </c>
      <c r="X137" s="8">
        <v>11650</v>
      </c>
      <c r="AH137" s="15">
        <v>138000</v>
      </c>
    </row>
    <row r="138" spans="4:34" ht="15.6" x14ac:dyDescent="0.25">
      <c r="D138" s="3">
        <v>135</v>
      </c>
      <c r="N138" s="8">
        <v>72000</v>
      </c>
      <c r="P138" s="7">
        <v>4350</v>
      </c>
      <c r="R138" s="3">
        <v>3850</v>
      </c>
      <c r="X138" s="8">
        <v>11700</v>
      </c>
      <c r="AH138" s="15">
        <v>139000</v>
      </c>
    </row>
    <row r="139" spans="4:34" ht="15.6" x14ac:dyDescent="0.25">
      <c r="D139" s="3">
        <v>136</v>
      </c>
      <c r="N139" s="8">
        <v>72500</v>
      </c>
      <c r="P139" s="7">
        <v>4375</v>
      </c>
      <c r="R139" s="3">
        <v>3875</v>
      </c>
      <c r="X139" s="8">
        <v>11750</v>
      </c>
      <c r="AH139" s="15">
        <v>140000</v>
      </c>
    </row>
    <row r="140" spans="4:34" ht="15.6" x14ac:dyDescent="0.25">
      <c r="D140" s="3">
        <v>137</v>
      </c>
      <c r="N140" s="8">
        <v>73000</v>
      </c>
      <c r="P140" s="7">
        <v>4400</v>
      </c>
      <c r="R140" s="3">
        <v>3900</v>
      </c>
      <c r="X140" s="8">
        <v>11800</v>
      </c>
      <c r="AH140" s="15">
        <v>141000</v>
      </c>
    </row>
    <row r="141" spans="4:34" ht="15.6" x14ac:dyDescent="0.25">
      <c r="D141" s="3">
        <v>138</v>
      </c>
      <c r="N141" s="8">
        <v>73500</v>
      </c>
      <c r="P141" s="7">
        <v>4425</v>
      </c>
      <c r="R141" s="3">
        <v>3925</v>
      </c>
      <c r="X141" s="8">
        <v>11850</v>
      </c>
      <c r="AH141" s="15">
        <v>142000</v>
      </c>
    </row>
    <row r="142" spans="4:34" ht="15.6" x14ac:dyDescent="0.25">
      <c r="D142" s="3">
        <v>139</v>
      </c>
      <c r="N142" s="8">
        <v>74000</v>
      </c>
      <c r="P142" s="7">
        <v>4450</v>
      </c>
      <c r="R142" s="3">
        <v>3950</v>
      </c>
      <c r="X142" s="8">
        <v>11900</v>
      </c>
      <c r="AH142" s="15">
        <v>143000</v>
      </c>
    </row>
    <row r="143" spans="4:34" ht="15.6" x14ac:dyDescent="0.25">
      <c r="D143" s="3">
        <v>140</v>
      </c>
      <c r="N143" s="8">
        <v>74500</v>
      </c>
      <c r="P143" s="7">
        <v>4475</v>
      </c>
      <c r="R143" s="3">
        <v>3975</v>
      </c>
      <c r="X143" s="8">
        <v>11950</v>
      </c>
      <c r="AH143" s="15">
        <v>144000</v>
      </c>
    </row>
    <row r="144" spans="4:34" ht="15.6" x14ac:dyDescent="0.25">
      <c r="D144" s="3">
        <v>141</v>
      </c>
      <c r="N144" s="8">
        <v>75000</v>
      </c>
      <c r="P144" s="7">
        <v>4500</v>
      </c>
      <c r="R144" s="3">
        <v>4000</v>
      </c>
      <c r="X144" s="8">
        <v>12000</v>
      </c>
      <c r="AH144" s="15">
        <v>145000</v>
      </c>
    </row>
    <row r="145" spans="4:34" ht="15.6" x14ac:dyDescent="0.25">
      <c r="D145" s="3">
        <v>142</v>
      </c>
      <c r="N145" s="8">
        <v>75500</v>
      </c>
      <c r="P145" s="7">
        <v>4525</v>
      </c>
      <c r="R145" s="3">
        <v>4025</v>
      </c>
      <c r="X145" s="8">
        <v>12050</v>
      </c>
      <c r="AH145" s="15">
        <v>146000</v>
      </c>
    </row>
    <row r="146" spans="4:34" ht="15.6" x14ac:dyDescent="0.25">
      <c r="D146" s="3">
        <v>143</v>
      </c>
      <c r="N146" s="8">
        <v>76000</v>
      </c>
      <c r="P146" s="7">
        <v>4550</v>
      </c>
      <c r="R146" s="3">
        <v>4050</v>
      </c>
      <c r="X146" s="8">
        <v>12100</v>
      </c>
      <c r="AH146" s="15">
        <v>147000</v>
      </c>
    </row>
    <row r="147" spans="4:34" ht="15.6" x14ac:dyDescent="0.25">
      <c r="D147" s="3">
        <v>144</v>
      </c>
      <c r="N147" s="8">
        <v>76500</v>
      </c>
      <c r="P147" s="7">
        <v>4575</v>
      </c>
      <c r="R147" s="3">
        <v>4075</v>
      </c>
      <c r="X147" s="8">
        <v>12150</v>
      </c>
      <c r="AH147" s="15">
        <v>148000</v>
      </c>
    </row>
    <row r="148" spans="4:34" ht="15.6" x14ac:dyDescent="0.25">
      <c r="D148" s="3">
        <v>145</v>
      </c>
      <c r="N148" s="8">
        <v>77000</v>
      </c>
      <c r="P148" s="7">
        <v>4600</v>
      </c>
      <c r="R148" s="3">
        <v>4100</v>
      </c>
      <c r="X148" s="8">
        <v>12200</v>
      </c>
      <c r="AH148" s="15">
        <v>149000</v>
      </c>
    </row>
    <row r="149" spans="4:34" ht="15.6" x14ac:dyDescent="0.25">
      <c r="D149" s="3">
        <v>146</v>
      </c>
      <c r="N149" s="8">
        <v>77500</v>
      </c>
      <c r="P149" s="7">
        <v>4625</v>
      </c>
      <c r="R149" s="3">
        <v>4125</v>
      </c>
      <c r="X149" s="8">
        <v>12250</v>
      </c>
      <c r="AH149" s="15">
        <v>150000</v>
      </c>
    </row>
    <row r="150" spans="4:34" ht="15.6" x14ac:dyDescent="0.25">
      <c r="D150" s="3">
        <v>147</v>
      </c>
      <c r="N150" s="8">
        <v>78000</v>
      </c>
      <c r="P150" s="7">
        <v>4650</v>
      </c>
      <c r="R150" s="3">
        <v>4150</v>
      </c>
      <c r="X150" s="8">
        <v>12300</v>
      </c>
    </row>
    <row r="151" spans="4:34" ht="15.6" x14ac:dyDescent="0.25">
      <c r="D151" s="3">
        <v>148</v>
      </c>
      <c r="N151" s="8">
        <v>78500</v>
      </c>
      <c r="P151" s="7">
        <v>4675</v>
      </c>
      <c r="R151" s="3">
        <v>4175</v>
      </c>
      <c r="X151" s="8">
        <v>12350</v>
      </c>
    </row>
    <row r="152" spans="4:34" ht="15.6" x14ac:dyDescent="0.25">
      <c r="D152" s="3">
        <v>149</v>
      </c>
      <c r="N152" s="8">
        <v>79000</v>
      </c>
      <c r="P152" s="7">
        <v>4700</v>
      </c>
      <c r="R152" s="3">
        <v>4200</v>
      </c>
      <c r="X152" s="8">
        <v>12400</v>
      </c>
    </row>
    <row r="153" spans="4:34" ht="15.6" x14ac:dyDescent="0.25">
      <c r="D153" s="3">
        <v>150</v>
      </c>
      <c r="N153" s="8">
        <v>79500</v>
      </c>
      <c r="P153" s="7">
        <v>4725</v>
      </c>
      <c r="R153" s="3">
        <v>4225</v>
      </c>
      <c r="X153" s="8">
        <v>12450</v>
      </c>
    </row>
    <row r="154" spans="4:34" ht="15.6" x14ac:dyDescent="0.25">
      <c r="D154" s="3">
        <v>151</v>
      </c>
      <c r="N154" s="8">
        <v>80000</v>
      </c>
      <c r="P154" s="7">
        <v>4750</v>
      </c>
      <c r="R154" s="3">
        <v>4250</v>
      </c>
      <c r="X154" s="8">
        <v>12500</v>
      </c>
    </row>
    <row r="155" spans="4:34" ht="15.6" x14ac:dyDescent="0.25">
      <c r="D155" s="3">
        <v>152</v>
      </c>
      <c r="N155" s="8">
        <v>80500</v>
      </c>
      <c r="P155" s="7">
        <v>4775</v>
      </c>
      <c r="R155" s="3">
        <v>4275</v>
      </c>
      <c r="X155" s="8">
        <v>12550</v>
      </c>
    </row>
    <row r="156" spans="4:34" ht="15.6" x14ac:dyDescent="0.25">
      <c r="D156" s="3">
        <v>153</v>
      </c>
      <c r="N156" s="8">
        <v>81000</v>
      </c>
      <c r="P156" s="7">
        <v>4800</v>
      </c>
      <c r="R156" s="3">
        <v>4300</v>
      </c>
      <c r="X156" s="8">
        <v>12600</v>
      </c>
    </row>
    <row r="157" spans="4:34" ht="15.6" x14ac:dyDescent="0.25">
      <c r="D157" s="3">
        <v>154</v>
      </c>
      <c r="N157" s="8">
        <v>81500</v>
      </c>
      <c r="P157" s="7">
        <v>4825</v>
      </c>
      <c r="R157" s="3">
        <v>4325</v>
      </c>
      <c r="X157" s="8">
        <v>12650</v>
      </c>
    </row>
    <row r="158" spans="4:34" ht="15.6" x14ac:dyDescent="0.25">
      <c r="D158" s="3">
        <v>155</v>
      </c>
      <c r="N158" s="8">
        <v>82000</v>
      </c>
      <c r="P158" s="7">
        <v>4850</v>
      </c>
      <c r="R158" s="3">
        <v>4350</v>
      </c>
      <c r="X158" s="8">
        <v>12700</v>
      </c>
    </row>
    <row r="159" spans="4:34" ht="15.6" x14ac:dyDescent="0.25">
      <c r="D159" s="3">
        <v>156</v>
      </c>
      <c r="N159" s="8">
        <v>82500</v>
      </c>
      <c r="P159" s="7">
        <v>4875</v>
      </c>
      <c r="R159" s="3">
        <v>4375</v>
      </c>
      <c r="X159" s="8">
        <v>12750</v>
      </c>
    </row>
    <row r="160" spans="4:34" ht="15.6" x14ac:dyDescent="0.25">
      <c r="D160" s="3">
        <v>157</v>
      </c>
      <c r="N160" s="8">
        <v>83000</v>
      </c>
      <c r="P160" s="7">
        <v>4900</v>
      </c>
      <c r="R160" s="3">
        <v>4400</v>
      </c>
      <c r="X160" s="8">
        <v>12800</v>
      </c>
    </row>
    <row r="161" spans="4:24" ht="15.6" x14ac:dyDescent="0.25">
      <c r="D161" s="3">
        <v>158</v>
      </c>
      <c r="N161" s="8">
        <v>83500</v>
      </c>
      <c r="P161" s="7">
        <v>4925</v>
      </c>
      <c r="R161" s="3">
        <v>4425</v>
      </c>
      <c r="X161" s="8">
        <v>12850</v>
      </c>
    </row>
    <row r="162" spans="4:24" ht="15.6" x14ac:dyDescent="0.25">
      <c r="D162" s="3">
        <v>159</v>
      </c>
      <c r="N162" s="8">
        <v>84000</v>
      </c>
      <c r="P162" s="7">
        <v>4950</v>
      </c>
      <c r="R162" s="3">
        <v>4450</v>
      </c>
      <c r="X162" s="8">
        <v>12900</v>
      </c>
    </row>
    <row r="163" spans="4:24" ht="15.6" x14ac:dyDescent="0.25">
      <c r="D163" s="3">
        <v>160</v>
      </c>
      <c r="N163" s="8">
        <v>84500</v>
      </c>
      <c r="P163" s="7">
        <v>4975</v>
      </c>
      <c r="R163" s="3">
        <v>4475</v>
      </c>
      <c r="X163" s="8">
        <v>12950</v>
      </c>
    </row>
    <row r="164" spans="4:24" ht="15.6" x14ac:dyDescent="0.25">
      <c r="D164" s="3">
        <v>161</v>
      </c>
      <c r="N164" s="8">
        <v>85000</v>
      </c>
      <c r="P164" s="7">
        <v>5000</v>
      </c>
      <c r="R164" s="3">
        <v>4500</v>
      </c>
      <c r="X164" s="8">
        <v>13000</v>
      </c>
    </row>
    <row r="165" spans="4:24" ht="15.6" x14ac:dyDescent="0.25">
      <c r="D165" s="3">
        <v>162</v>
      </c>
      <c r="N165" s="8">
        <v>85500</v>
      </c>
      <c r="R165" s="3">
        <v>4525</v>
      </c>
      <c r="X165" s="8">
        <v>13050</v>
      </c>
    </row>
    <row r="166" spans="4:24" ht="15.6" x14ac:dyDescent="0.25">
      <c r="D166" s="3">
        <v>163</v>
      </c>
      <c r="N166" s="8">
        <v>86000</v>
      </c>
      <c r="R166" s="3">
        <v>4550</v>
      </c>
      <c r="X166" s="8">
        <v>13100</v>
      </c>
    </row>
    <row r="167" spans="4:24" ht="15.6" x14ac:dyDescent="0.25">
      <c r="D167" s="3">
        <v>164</v>
      </c>
      <c r="N167" s="8">
        <v>86500</v>
      </c>
      <c r="R167" s="3">
        <v>4575</v>
      </c>
      <c r="X167" s="8">
        <v>13150</v>
      </c>
    </row>
    <row r="168" spans="4:24" ht="15.6" x14ac:dyDescent="0.25">
      <c r="D168" s="3">
        <v>165</v>
      </c>
      <c r="N168" s="8">
        <v>87000</v>
      </c>
      <c r="R168" s="3">
        <v>4600</v>
      </c>
      <c r="X168" s="8">
        <v>13200</v>
      </c>
    </row>
    <row r="169" spans="4:24" ht="15.6" x14ac:dyDescent="0.25">
      <c r="D169" s="3">
        <v>166</v>
      </c>
      <c r="N169" s="8">
        <v>87500</v>
      </c>
      <c r="R169" s="3">
        <v>4625</v>
      </c>
      <c r="X169" s="8">
        <v>13250</v>
      </c>
    </row>
    <row r="170" spans="4:24" ht="15.6" x14ac:dyDescent="0.25">
      <c r="D170" s="3">
        <v>167</v>
      </c>
      <c r="N170" s="8">
        <v>88000</v>
      </c>
      <c r="R170" s="3">
        <v>4650</v>
      </c>
      <c r="X170" s="8">
        <v>13300</v>
      </c>
    </row>
    <row r="171" spans="4:24" ht="15.6" x14ac:dyDescent="0.25">
      <c r="D171" s="3">
        <v>168</v>
      </c>
      <c r="N171" s="8">
        <v>88500</v>
      </c>
      <c r="R171" s="3">
        <v>4675</v>
      </c>
      <c r="X171" s="8">
        <v>13350</v>
      </c>
    </row>
    <row r="172" spans="4:24" ht="15.6" x14ac:dyDescent="0.25">
      <c r="D172" s="3">
        <v>169</v>
      </c>
      <c r="N172" s="8">
        <v>89000</v>
      </c>
      <c r="R172" s="3">
        <v>4700</v>
      </c>
      <c r="X172" s="8">
        <v>13400</v>
      </c>
    </row>
    <row r="173" spans="4:24" ht="15.6" x14ac:dyDescent="0.25">
      <c r="D173" s="3">
        <v>170</v>
      </c>
      <c r="N173" s="8">
        <v>89500</v>
      </c>
      <c r="R173" s="3">
        <v>4725</v>
      </c>
      <c r="X173" s="8">
        <v>13450</v>
      </c>
    </row>
    <row r="174" spans="4:24" ht="15.6" x14ac:dyDescent="0.25">
      <c r="D174" s="3">
        <v>171</v>
      </c>
      <c r="N174" s="8">
        <v>90000</v>
      </c>
      <c r="R174" s="3">
        <v>4750</v>
      </c>
      <c r="X174" s="8">
        <v>13500</v>
      </c>
    </row>
    <row r="175" spans="4:24" ht="15.6" x14ac:dyDescent="0.25">
      <c r="D175" s="3">
        <v>172</v>
      </c>
      <c r="N175" s="8">
        <v>90500</v>
      </c>
      <c r="R175" s="3">
        <v>4775</v>
      </c>
      <c r="X175" s="8">
        <v>13550</v>
      </c>
    </row>
    <row r="176" spans="4:24" ht="15.6" x14ac:dyDescent="0.25">
      <c r="D176" s="3">
        <v>173</v>
      </c>
      <c r="N176" s="8">
        <v>91000</v>
      </c>
      <c r="R176" s="3">
        <v>4800</v>
      </c>
      <c r="X176" s="8">
        <v>13600</v>
      </c>
    </row>
    <row r="177" spans="4:24" ht="15.6" x14ac:dyDescent="0.25">
      <c r="D177" s="3">
        <v>174</v>
      </c>
      <c r="N177" s="8">
        <v>91500</v>
      </c>
      <c r="R177" s="3">
        <v>4825</v>
      </c>
      <c r="X177" s="8">
        <v>13650</v>
      </c>
    </row>
    <row r="178" spans="4:24" ht="15.6" x14ac:dyDescent="0.25">
      <c r="D178" s="3">
        <v>175</v>
      </c>
      <c r="N178" s="8">
        <v>92000</v>
      </c>
      <c r="R178" s="3">
        <v>4850</v>
      </c>
      <c r="X178" s="8">
        <v>13700</v>
      </c>
    </row>
    <row r="179" spans="4:24" ht="15.6" x14ac:dyDescent="0.25">
      <c r="D179" s="3">
        <v>176</v>
      </c>
      <c r="N179" s="8">
        <v>92500</v>
      </c>
      <c r="R179" s="3">
        <v>4875</v>
      </c>
      <c r="X179" s="8">
        <v>13750</v>
      </c>
    </row>
    <row r="180" spans="4:24" ht="15.6" x14ac:dyDescent="0.25">
      <c r="D180" s="3">
        <v>177</v>
      </c>
      <c r="N180" s="8">
        <v>93000</v>
      </c>
      <c r="R180" s="3">
        <v>4900</v>
      </c>
      <c r="X180" s="8">
        <v>13800</v>
      </c>
    </row>
    <row r="181" spans="4:24" ht="15.6" x14ac:dyDescent="0.25">
      <c r="D181" s="3">
        <v>178</v>
      </c>
      <c r="N181" s="8">
        <v>93500</v>
      </c>
      <c r="R181" s="3">
        <v>4925</v>
      </c>
      <c r="X181" s="8">
        <v>13850</v>
      </c>
    </row>
    <row r="182" spans="4:24" ht="15.6" x14ac:dyDescent="0.25">
      <c r="D182" s="3">
        <v>179</v>
      </c>
      <c r="N182" s="8">
        <v>94000</v>
      </c>
      <c r="R182" s="3">
        <v>4950</v>
      </c>
      <c r="X182" s="8">
        <v>13900</v>
      </c>
    </row>
    <row r="183" spans="4:24" ht="15.6" x14ac:dyDescent="0.25">
      <c r="D183" s="3">
        <v>180</v>
      </c>
      <c r="N183" s="8">
        <v>94500</v>
      </c>
      <c r="R183" s="3">
        <v>4975</v>
      </c>
      <c r="X183" s="8">
        <v>13950</v>
      </c>
    </row>
    <row r="184" spans="4:24" ht="15.6" x14ac:dyDescent="0.25">
      <c r="D184" s="3">
        <v>181</v>
      </c>
      <c r="N184" s="8">
        <v>95000</v>
      </c>
      <c r="R184" s="3">
        <v>5000</v>
      </c>
      <c r="X184" s="8">
        <v>14000</v>
      </c>
    </row>
    <row r="185" spans="4:24" ht="15.6" x14ac:dyDescent="0.25">
      <c r="D185" s="3">
        <v>182</v>
      </c>
      <c r="N185" s="8">
        <v>95500</v>
      </c>
      <c r="R185" s="3">
        <v>5025</v>
      </c>
      <c r="X185" s="8">
        <v>14050</v>
      </c>
    </row>
    <row r="186" spans="4:24" ht="15.6" x14ac:dyDescent="0.25">
      <c r="D186" s="3">
        <v>183</v>
      </c>
      <c r="N186" s="8">
        <v>96000</v>
      </c>
      <c r="R186" s="3">
        <v>5050</v>
      </c>
      <c r="X186" s="8">
        <v>14100</v>
      </c>
    </row>
    <row r="187" spans="4:24" ht="15.6" x14ac:dyDescent="0.25">
      <c r="D187" s="3">
        <v>184</v>
      </c>
      <c r="N187" s="8">
        <v>96500</v>
      </c>
      <c r="R187" s="3">
        <v>5075</v>
      </c>
      <c r="X187" s="8">
        <v>14150</v>
      </c>
    </row>
    <row r="188" spans="4:24" ht="15.6" x14ac:dyDescent="0.25">
      <c r="D188" s="3">
        <v>185</v>
      </c>
      <c r="N188" s="8">
        <v>97000</v>
      </c>
      <c r="R188" s="3">
        <v>5100</v>
      </c>
      <c r="X188" s="8">
        <v>14200</v>
      </c>
    </row>
    <row r="189" spans="4:24" ht="15.6" x14ac:dyDescent="0.25">
      <c r="D189" s="3">
        <v>186</v>
      </c>
      <c r="N189" s="8">
        <v>97500</v>
      </c>
      <c r="R189" s="3">
        <v>5125</v>
      </c>
      <c r="X189" s="8">
        <v>14250</v>
      </c>
    </row>
    <row r="190" spans="4:24" ht="15.6" x14ac:dyDescent="0.25">
      <c r="D190" s="3">
        <v>187</v>
      </c>
      <c r="N190" s="8">
        <v>98000</v>
      </c>
      <c r="R190" s="3">
        <v>5150</v>
      </c>
      <c r="X190" s="8">
        <v>14300</v>
      </c>
    </row>
    <row r="191" spans="4:24" ht="15.6" x14ac:dyDescent="0.25">
      <c r="D191" s="3">
        <v>188</v>
      </c>
      <c r="N191" s="8">
        <v>98500</v>
      </c>
      <c r="R191" s="3">
        <v>5175</v>
      </c>
      <c r="X191" s="8">
        <v>14350</v>
      </c>
    </row>
    <row r="192" spans="4:24" ht="15.6" x14ac:dyDescent="0.25">
      <c r="D192" s="3">
        <v>189</v>
      </c>
      <c r="N192" s="8">
        <v>99000</v>
      </c>
      <c r="R192" s="3">
        <v>5200</v>
      </c>
      <c r="X192" s="8">
        <v>14400</v>
      </c>
    </row>
    <row r="193" spans="4:24" ht="15.6" x14ac:dyDescent="0.25">
      <c r="D193" s="3">
        <v>190</v>
      </c>
      <c r="N193" s="8">
        <v>99500</v>
      </c>
      <c r="R193" s="3">
        <v>5225</v>
      </c>
      <c r="X193" s="8">
        <v>14450</v>
      </c>
    </row>
    <row r="194" spans="4:24" ht="15.6" x14ac:dyDescent="0.25">
      <c r="D194" s="3">
        <v>191</v>
      </c>
      <c r="N194" s="8">
        <v>100000</v>
      </c>
      <c r="R194" s="3">
        <v>5250</v>
      </c>
      <c r="X194" s="8">
        <v>14500</v>
      </c>
    </row>
    <row r="195" spans="4:24" ht="15.6" x14ac:dyDescent="0.25">
      <c r="D195" s="3">
        <v>192</v>
      </c>
      <c r="N195" s="8">
        <v>100500</v>
      </c>
      <c r="R195" s="3">
        <v>5275</v>
      </c>
      <c r="X195" s="8">
        <v>14550</v>
      </c>
    </row>
    <row r="196" spans="4:24" ht="15.6" x14ac:dyDescent="0.25">
      <c r="D196" s="3">
        <v>193</v>
      </c>
      <c r="N196" s="8">
        <v>101000</v>
      </c>
      <c r="R196" s="3">
        <v>5300</v>
      </c>
      <c r="X196" s="8">
        <v>14600</v>
      </c>
    </row>
    <row r="197" spans="4:24" ht="15.6" x14ac:dyDescent="0.25">
      <c r="D197" s="3">
        <v>194</v>
      </c>
      <c r="N197" s="8">
        <v>101500</v>
      </c>
      <c r="R197" s="3">
        <v>5325</v>
      </c>
      <c r="X197" s="8">
        <v>14650</v>
      </c>
    </row>
    <row r="198" spans="4:24" ht="15.6" x14ac:dyDescent="0.25">
      <c r="D198" s="3">
        <v>195</v>
      </c>
      <c r="N198" s="8">
        <v>102000</v>
      </c>
      <c r="R198" s="3">
        <v>5350</v>
      </c>
      <c r="X198" s="8">
        <v>14700</v>
      </c>
    </row>
    <row r="199" spans="4:24" ht="15.6" x14ac:dyDescent="0.25">
      <c r="D199" s="3">
        <v>196</v>
      </c>
      <c r="N199" s="8">
        <v>102500</v>
      </c>
      <c r="R199" s="3">
        <v>5375</v>
      </c>
      <c r="X199" s="8">
        <v>14750</v>
      </c>
    </row>
    <row r="200" spans="4:24" ht="15.6" x14ac:dyDescent="0.25">
      <c r="D200" s="3">
        <v>197</v>
      </c>
      <c r="N200" s="8">
        <v>103000</v>
      </c>
      <c r="R200" s="3">
        <v>5400</v>
      </c>
      <c r="X200" s="8">
        <v>14800</v>
      </c>
    </row>
    <row r="201" spans="4:24" ht="15.6" x14ac:dyDescent="0.25">
      <c r="D201" s="3">
        <v>198</v>
      </c>
      <c r="N201" s="8">
        <v>103500</v>
      </c>
      <c r="R201" s="3">
        <v>5425</v>
      </c>
      <c r="X201" s="8">
        <v>14850</v>
      </c>
    </row>
    <row r="202" spans="4:24" ht="15.6" x14ac:dyDescent="0.25">
      <c r="D202" s="3">
        <v>199</v>
      </c>
      <c r="N202" s="8">
        <v>104000</v>
      </c>
      <c r="R202" s="3">
        <v>5450</v>
      </c>
      <c r="X202" s="8">
        <v>14900</v>
      </c>
    </row>
    <row r="203" spans="4:24" ht="15.6" x14ac:dyDescent="0.25">
      <c r="D203" s="3">
        <v>200</v>
      </c>
      <c r="N203" s="8">
        <v>104500</v>
      </c>
      <c r="R203" s="3">
        <v>5475</v>
      </c>
      <c r="X203" s="8">
        <v>14950</v>
      </c>
    </row>
    <row r="204" spans="4:24" ht="15.6" x14ac:dyDescent="0.25">
      <c r="N204" s="8">
        <v>105000</v>
      </c>
      <c r="R204" s="3">
        <v>5500</v>
      </c>
      <c r="X204" s="8">
        <v>15000</v>
      </c>
    </row>
    <row r="205" spans="4:24" ht="15.6" x14ac:dyDescent="0.25">
      <c r="N205" s="8">
        <v>105500</v>
      </c>
      <c r="R205" s="3">
        <v>5525</v>
      </c>
    </row>
    <row r="206" spans="4:24" ht="15.6" x14ac:dyDescent="0.25">
      <c r="N206" s="8">
        <v>106000</v>
      </c>
      <c r="R206" s="3">
        <v>5550</v>
      </c>
    </row>
    <row r="207" spans="4:24" ht="15.6" x14ac:dyDescent="0.25">
      <c r="N207" s="8">
        <v>106500</v>
      </c>
      <c r="R207" s="3">
        <v>5575</v>
      </c>
    </row>
    <row r="208" spans="4:24" ht="15.6" x14ac:dyDescent="0.25">
      <c r="N208" s="8">
        <v>107000</v>
      </c>
      <c r="R208" s="3">
        <v>5600</v>
      </c>
    </row>
    <row r="209" spans="14:18" ht="15.6" x14ac:dyDescent="0.25">
      <c r="N209" s="8">
        <v>107500</v>
      </c>
      <c r="R209" s="3">
        <v>5625</v>
      </c>
    </row>
    <row r="210" spans="14:18" ht="15.6" x14ac:dyDescent="0.25">
      <c r="N210" s="8">
        <v>108000</v>
      </c>
      <c r="R210" s="3">
        <v>5650</v>
      </c>
    </row>
    <row r="211" spans="14:18" ht="15.6" x14ac:dyDescent="0.25">
      <c r="N211" s="8">
        <v>108500</v>
      </c>
      <c r="R211" s="3">
        <v>5675</v>
      </c>
    </row>
    <row r="212" spans="14:18" ht="15.6" x14ac:dyDescent="0.25">
      <c r="N212" s="8">
        <v>109000</v>
      </c>
      <c r="R212" s="3">
        <v>5700</v>
      </c>
    </row>
    <row r="213" spans="14:18" ht="15.6" x14ac:dyDescent="0.25">
      <c r="N213" s="8">
        <v>109500</v>
      </c>
      <c r="R213" s="3">
        <v>5725</v>
      </c>
    </row>
    <row r="214" spans="14:18" ht="15.6" x14ac:dyDescent="0.25">
      <c r="N214" s="8">
        <v>110000</v>
      </c>
      <c r="R214" s="3">
        <v>5750</v>
      </c>
    </row>
    <row r="215" spans="14:18" ht="15.6" x14ac:dyDescent="0.25">
      <c r="N215" s="8">
        <v>110500</v>
      </c>
      <c r="R215" s="3">
        <v>5775</v>
      </c>
    </row>
    <row r="216" spans="14:18" ht="15.6" x14ac:dyDescent="0.25">
      <c r="N216" s="8">
        <v>111000</v>
      </c>
      <c r="R216" s="3">
        <v>5800</v>
      </c>
    </row>
    <row r="217" spans="14:18" ht="15.6" x14ac:dyDescent="0.25">
      <c r="N217" s="8">
        <v>111500</v>
      </c>
      <c r="R217" s="3">
        <v>5825</v>
      </c>
    </row>
    <row r="218" spans="14:18" ht="15.6" x14ac:dyDescent="0.25">
      <c r="N218" s="8">
        <v>112000</v>
      </c>
      <c r="R218" s="3">
        <v>5850</v>
      </c>
    </row>
    <row r="219" spans="14:18" ht="15.6" x14ac:dyDescent="0.25">
      <c r="N219" s="8">
        <v>112500</v>
      </c>
      <c r="R219" s="3">
        <v>5875</v>
      </c>
    </row>
    <row r="220" spans="14:18" ht="15.6" x14ac:dyDescent="0.25">
      <c r="N220" s="8">
        <v>113000</v>
      </c>
      <c r="R220" s="3">
        <v>5900</v>
      </c>
    </row>
    <row r="221" spans="14:18" ht="15.6" x14ac:dyDescent="0.25">
      <c r="N221" s="8">
        <v>113500</v>
      </c>
      <c r="R221" s="3">
        <v>5925</v>
      </c>
    </row>
    <row r="222" spans="14:18" ht="15.6" x14ac:dyDescent="0.25">
      <c r="N222" s="8">
        <v>114000</v>
      </c>
      <c r="R222" s="3">
        <v>5950</v>
      </c>
    </row>
    <row r="223" spans="14:18" ht="15.6" x14ac:dyDescent="0.25">
      <c r="N223" s="8">
        <v>114500</v>
      </c>
      <c r="R223" s="3">
        <v>5975</v>
      </c>
    </row>
    <row r="224" spans="14:18" ht="15.6" x14ac:dyDescent="0.25">
      <c r="N224" s="8">
        <v>115000</v>
      </c>
      <c r="R224" s="3">
        <v>6000</v>
      </c>
    </row>
    <row r="225" spans="14:18" ht="15.6" x14ac:dyDescent="0.25">
      <c r="N225" s="8">
        <v>115500</v>
      </c>
      <c r="R225" s="3">
        <v>6025</v>
      </c>
    </row>
    <row r="226" spans="14:18" ht="15.6" x14ac:dyDescent="0.25">
      <c r="N226" s="8">
        <v>116000</v>
      </c>
      <c r="R226" s="3">
        <v>6050</v>
      </c>
    </row>
    <row r="227" spans="14:18" ht="15.6" x14ac:dyDescent="0.25">
      <c r="N227" s="8">
        <v>116500</v>
      </c>
      <c r="R227" s="3">
        <v>6075</v>
      </c>
    </row>
    <row r="228" spans="14:18" ht="15.6" x14ac:dyDescent="0.25">
      <c r="N228" s="8">
        <v>117000</v>
      </c>
      <c r="R228" s="3">
        <v>6100</v>
      </c>
    </row>
    <row r="229" spans="14:18" ht="15.6" x14ac:dyDescent="0.25">
      <c r="N229" s="8">
        <v>117500</v>
      </c>
      <c r="R229" s="3">
        <v>6125</v>
      </c>
    </row>
    <row r="230" spans="14:18" ht="15.6" x14ac:dyDescent="0.25">
      <c r="N230" s="8">
        <v>118000</v>
      </c>
      <c r="R230" s="3">
        <v>6150</v>
      </c>
    </row>
    <row r="231" spans="14:18" ht="15.6" x14ac:dyDescent="0.25">
      <c r="N231" s="8">
        <v>118500</v>
      </c>
      <c r="R231" s="3">
        <v>6175</v>
      </c>
    </row>
    <row r="232" spans="14:18" ht="15.6" x14ac:dyDescent="0.25">
      <c r="N232" s="8">
        <v>119000</v>
      </c>
      <c r="R232" s="3">
        <v>6200</v>
      </c>
    </row>
    <row r="233" spans="14:18" ht="15.6" x14ac:dyDescent="0.25">
      <c r="N233" s="8">
        <v>119500</v>
      </c>
      <c r="R233" s="3">
        <v>6225</v>
      </c>
    </row>
    <row r="234" spans="14:18" ht="15.6" x14ac:dyDescent="0.25">
      <c r="N234" s="8">
        <v>120000</v>
      </c>
      <c r="R234" s="3">
        <v>6250</v>
      </c>
    </row>
    <row r="235" spans="14:18" ht="15.6" x14ac:dyDescent="0.25">
      <c r="N235" s="8">
        <v>120500</v>
      </c>
      <c r="R235" s="3">
        <v>6275</v>
      </c>
    </row>
    <row r="236" spans="14:18" ht="15.6" x14ac:dyDescent="0.25">
      <c r="N236" s="8">
        <v>121000</v>
      </c>
      <c r="R236" s="3">
        <v>6300</v>
      </c>
    </row>
    <row r="237" spans="14:18" ht="15.6" x14ac:dyDescent="0.25">
      <c r="N237" s="8">
        <v>121500</v>
      </c>
      <c r="R237" s="3">
        <v>6325</v>
      </c>
    </row>
    <row r="238" spans="14:18" ht="15.6" x14ac:dyDescent="0.25">
      <c r="N238" s="8">
        <v>122000</v>
      </c>
      <c r="R238" s="3">
        <v>6350</v>
      </c>
    </row>
    <row r="239" spans="14:18" ht="15.6" x14ac:dyDescent="0.25">
      <c r="N239" s="8">
        <v>122500</v>
      </c>
      <c r="R239" s="3">
        <v>6375</v>
      </c>
    </row>
    <row r="240" spans="14:18" ht="15.6" x14ac:dyDescent="0.25">
      <c r="N240" s="8">
        <v>123000</v>
      </c>
      <c r="R240" s="3">
        <v>6400</v>
      </c>
    </row>
    <row r="241" spans="14:18" ht="15.6" x14ac:dyDescent="0.25">
      <c r="N241" s="8">
        <v>123500</v>
      </c>
      <c r="R241" s="3">
        <v>6425</v>
      </c>
    </row>
    <row r="242" spans="14:18" ht="15.6" x14ac:dyDescent="0.25">
      <c r="N242" s="8">
        <v>124000</v>
      </c>
      <c r="R242" s="3">
        <v>6450</v>
      </c>
    </row>
    <row r="243" spans="14:18" ht="15.6" x14ac:dyDescent="0.25">
      <c r="N243" s="8">
        <v>124500</v>
      </c>
      <c r="R243" s="3">
        <v>6475</v>
      </c>
    </row>
    <row r="244" spans="14:18" ht="15.6" x14ac:dyDescent="0.25">
      <c r="N244" s="8">
        <v>125000</v>
      </c>
      <c r="R244" s="3">
        <v>6500</v>
      </c>
    </row>
    <row r="245" spans="14:18" ht="15.6" x14ac:dyDescent="0.25">
      <c r="N245" s="8">
        <v>125500</v>
      </c>
      <c r="R245" s="3">
        <v>6525</v>
      </c>
    </row>
    <row r="246" spans="14:18" ht="15.6" x14ac:dyDescent="0.25">
      <c r="N246" s="8">
        <v>126000</v>
      </c>
      <c r="R246" s="3">
        <v>6550</v>
      </c>
    </row>
    <row r="247" spans="14:18" ht="15.6" x14ac:dyDescent="0.25">
      <c r="N247" s="8">
        <v>126500</v>
      </c>
      <c r="R247" s="3">
        <v>6575</v>
      </c>
    </row>
    <row r="248" spans="14:18" ht="15.6" x14ac:dyDescent="0.25">
      <c r="N248" s="8">
        <v>127000</v>
      </c>
      <c r="R248" s="3">
        <v>6600</v>
      </c>
    </row>
    <row r="249" spans="14:18" ht="15.6" x14ac:dyDescent="0.25">
      <c r="N249" s="8">
        <v>127500</v>
      </c>
      <c r="R249" s="3">
        <v>6625</v>
      </c>
    </row>
    <row r="250" spans="14:18" ht="15.6" x14ac:dyDescent="0.25">
      <c r="N250" s="8">
        <v>128000</v>
      </c>
      <c r="R250" s="3">
        <v>6650</v>
      </c>
    </row>
    <row r="251" spans="14:18" ht="15.6" x14ac:dyDescent="0.25">
      <c r="N251" s="8">
        <v>128500</v>
      </c>
      <c r="R251" s="3">
        <v>6675</v>
      </c>
    </row>
    <row r="252" spans="14:18" ht="15.6" x14ac:dyDescent="0.25">
      <c r="N252" s="8">
        <v>129000</v>
      </c>
      <c r="R252" s="3">
        <v>6700</v>
      </c>
    </row>
    <row r="253" spans="14:18" ht="15.6" x14ac:dyDescent="0.25">
      <c r="N253" s="8">
        <v>129500</v>
      </c>
      <c r="R253" s="3">
        <v>6725</v>
      </c>
    </row>
    <row r="254" spans="14:18" ht="15.6" x14ac:dyDescent="0.25">
      <c r="N254" s="8">
        <v>130000</v>
      </c>
      <c r="R254" s="3">
        <v>6750</v>
      </c>
    </row>
    <row r="255" spans="14:18" ht="15.6" x14ac:dyDescent="0.25">
      <c r="N255" s="8">
        <v>130500</v>
      </c>
      <c r="R255" s="3">
        <v>6775</v>
      </c>
    </row>
    <row r="256" spans="14:18" ht="15.6" x14ac:dyDescent="0.25">
      <c r="N256" s="8">
        <v>131000</v>
      </c>
      <c r="R256" s="3">
        <v>6800</v>
      </c>
    </row>
    <row r="257" spans="14:18" ht="15.6" x14ac:dyDescent="0.25">
      <c r="N257" s="8">
        <v>131500</v>
      </c>
      <c r="R257" s="3">
        <v>6825</v>
      </c>
    </row>
    <row r="258" spans="14:18" ht="15.6" x14ac:dyDescent="0.25">
      <c r="N258" s="8">
        <v>132000</v>
      </c>
      <c r="R258" s="3">
        <v>6850</v>
      </c>
    </row>
    <row r="259" spans="14:18" ht="15.6" x14ac:dyDescent="0.25">
      <c r="N259" s="8">
        <v>132500</v>
      </c>
      <c r="R259" s="3">
        <v>6875</v>
      </c>
    </row>
    <row r="260" spans="14:18" ht="15.6" x14ac:dyDescent="0.25">
      <c r="N260" s="8">
        <v>133000</v>
      </c>
      <c r="R260" s="3">
        <v>6900</v>
      </c>
    </row>
    <row r="261" spans="14:18" ht="15.6" x14ac:dyDescent="0.25">
      <c r="N261" s="8">
        <v>133500</v>
      </c>
      <c r="R261" s="3">
        <v>6925</v>
      </c>
    </row>
    <row r="262" spans="14:18" ht="15.6" x14ac:dyDescent="0.25">
      <c r="N262" s="8">
        <v>134000</v>
      </c>
      <c r="R262" s="3">
        <v>6950</v>
      </c>
    </row>
    <row r="263" spans="14:18" ht="15.6" x14ac:dyDescent="0.25">
      <c r="N263" s="8">
        <v>134500</v>
      </c>
      <c r="R263" s="3">
        <v>6975</v>
      </c>
    </row>
    <row r="264" spans="14:18" ht="15.6" x14ac:dyDescent="0.25">
      <c r="N264" s="8">
        <v>135000</v>
      </c>
      <c r="R264" s="3">
        <v>7000</v>
      </c>
    </row>
    <row r="265" spans="14:18" ht="15.6" x14ac:dyDescent="0.25">
      <c r="N265" s="8">
        <v>135500</v>
      </c>
      <c r="R265" s="3">
        <v>7025</v>
      </c>
    </row>
    <row r="266" spans="14:18" ht="15.6" x14ac:dyDescent="0.25">
      <c r="N266" s="8">
        <v>136000</v>
      </c>
      <c r="R266" s="3">
        <v>7050</v>
      </c>
    </row>
    <row r="267" spans="14:18" ht="15.6" x14ac:dyDescent="0.25">
      <c r="N267" s="8">
        <v>136500</v>
      </c>
      <c r="R267" s="3">
        <v>7075</v>
      </c>
    </row>
    <row r="268" spans="14:18" ht="15.6" x14ac:dyDescent="0.25">
      <c r="N268" s="8">
        <v>137000</v>
      </c>
      <c r="R268" s="3">
        <v>7100</v>
      </c>
    </row>
    <row r="269" spans="14:18" ht="15.6" x14ac:dyDescent="0.25">
      <c r="N269" s="8">
        <v>137500</v>
      </c>
      <c r="R269" s="3">
        <v>7125</v>
      </c>
    </row>
    <row r="270" spans="14:18" ht="15.6" x14ac:dyDescent="0.25">
      <c r="N270" s="8">
        <v>138000</v>
      </c>
      <c r="R270" s="3">
        <v>7150</v>
      </c>
    </row>
    <row r="271" spans="14:18" ht="15.6" x14ac:dyDescent="0.25">
      <c r="N271" s="8">
        <v>138500</v>
      </c>
      <c r="R271" s="3">
        <v>7175</v>
      </c>
    </row>
    <row r="272" spans="14:18" ht="15.6" x14ac:dyDescent="0.25">
      <c r="N272" s="8">
        <v>139000</v>
      </c>
      <c r="R272" s="3">
        <v>7200</v>
      </c>
    </row>
    <row r="273" spans="14:18" ht="15.6" x14ac:dyDescent="0.25">
      <c r="N273" s="8">
        <v>139500</v>
      </c>
      <c r="R273" s="3">
        <v>7225</v>
      </c>
    </row>
    <row r="274" spans="14:18" ht="15.6" x14ac:dyDescent="0.25">
      <c r="N274" s="8">
        <v>140000</v>
      </c>
      <c r="R274" s="3">
        <v>7250</v>
      </c>
    </row>
    <row r="275" spans="14:18" ht="15.6" x14ac:dyDescent="0.25">
      <c r="N275" s="8">
        <v>140500</v>
      </c>
      <c r="R275" s="3">
        <v>7275</v>
      </c>
    </row>
    <row r="276" spans="14:18" ht="15.6" x14ac:dyDescent="0.25">
      <c r="N276" s="8">
        <v>141000</v>
      </c>
      <c r="R276" s="3">
        <v>7300</v>
      </c>
    </row>
    <row r="277" spans="14:18" ht="15.6" x14ac:dyDescent="0.25">
      <c r="N277" s="8">
        <v>141500</v>
      </c>
      <c r="R277" s="3">
        <v>7325</v>
      </c>
    </row>
    <row r="278" spans="14:18" ht="15.6" x14ac:dyDescent="0.25">
      <c r="N278" s="8">
        <v>142000</v>
      </c>
      <c r="R278" s="3">
        <v>7350</v>
      </c>
    </row>
    <row r="279" spans="14:18" ht="15.6" x14ac:dyDescent="0.25">
      <c r="N279" s="8">
        <v>142500</v>
      </c>
      <c r="R279" s="3">
        <v>7375</v>
      </c>
    </row>
    <row r="280" spans="14:18" ht="15.6" x14ac:dyDescent="0.25">
      <c r="N280" s="8">
        <v>143000</v>
      </c>
      <c r="R280" s="3">
        <v>7400</v>
      </c>
    </row>
    <row r="281" spans="14:18" ht="15.6" x14ac:dyDescent="0.25">
      <c r="N281" s="8">
        <v>143500</v>
      </c>
      <c r="R281" s="3">
        <v>7425</v>
      </c>
    </row>
    <row r="282" spans="14:18" ht="15.6" x14ac:dyDescent="0.25">
      <c r="N282" s="8">
        <v>144000</v>
      </c>
      <c r="R282" s="3">
        <v>7450</v>
      </c>
    </row>
    <row r="283" spans="14:18" ht="15.6" x14ac:dyDescent="0.25">
      <c r="N283" s="8">
        <v>144500</v>
      </c>
      <c r="R283" s="3">
        <v>7475</v>
      </c>
    </row>
    <row r="284" spans="14:18" ht="15.6" x14ac:dyDescent="0.25">
      <c r="N284" s="8">
        <v>145000</v>
      </c>
      <c r="R284" s="3">
        <v>7500</v>
      </c>
    </row>
    <row r="285" spans="14:18" ht="15.6" x14ac:dyDescent="0.25">
      <c r="N285" s="8">
        <v>145500</v>
      </c>
      <c r="R285" s="3">
        <v>7525</v>
      </c>
    </row>
    <row r="286" spans="14:18" ht="15.6" x14ac:dyDescent="0.25">
      <c r="N286" s="8">
        <v>146000</v>
      </c>
      <c r="R286" s="3">
        <v>7550</v>
      </c>
    </row>
    <row r="287" spans="14:18" ht="15.6" x14ac:dyDescent="0.25">
      <c r="N287" s="8">
        <v>146500</v>
      </c>
      <c r="R287" s="3">
        <v>7575</v>
      </c>
    </row>
    <row r="288" spans="14:18" ht="15.6" x14ac:dyDescent="0.25">
      <c r="N288" s="8">
        <v>147000</v>
      </c>
      <c r="R288" s="3">
        <v>7600</v>
      </c>
    </row>
    <row r="289" spans="14:18" ht="15.6" x14ac:dyDescent="0.25">
      <c r="N289" s="8">
        <v>147500</v>
      </c>
      <c r="R289" s="3">
        <v>7625</v>
      </c>
    </row>
    <row r="290" spans="14:18" ht="15.6" x14ac:dyDescent="0.25">
      <c r="N290" s="8">
        <v>148000</v>
      </c>
      <c r="R290" s="3">
        <v>7650</v>
      </c>
    </row>
    <row r="291" spans="14:18" ht="15.6" x14ac:dyDescent="0.25">
      <c r="N291" s="8">
        <v>148500</v>
      </c>
      <c r="R291" s="3">
        <v>7675</v>
      </c>
    </row>
    <row r="292" spans="14:18" ht="15.6" x14ac:dyDescent="0.25">
      <c r="N292" s="8">
        <v>149000</v>
      </c>
      <c r="R292" s="3">
        <v>7700</v>
      </c>
    </row>
    <row r="293" spans="14:18" ht="15.6" x14ac:dyDescent="0.25">
      <c r="N293" s="8">
        <v>149500</v>
      </c>
      <c r="R293" s="3">
        <v>7725</v>
      </c>
    </row>
    <row r="294" spans="14:18" ht="15.6" x14ac:dyDescent="0.25">
      <c r="N294" s="8">
        <v>150000</v>
      </c>
      <c r="R294" s="3">
        <v>7750</v>
      </c>
    </row>
    <row r="295" spans="14:18" ht="15.6" x14ac:dyDescent="0.25">
      <c r="N295" s="8">
        <v>150500</v>
      </c>
      <c r="R295" s="3">
        <v>7775</v>
      </c>
    </row>
    <row r="296" spans="14:18" ht="15.6" x14ac:dyDescent="0.25">
      <c r="N296" s="8">
        <v>151000</v>
      </c>
      <c r="R296" s="3">
        <v>7800</v>
      </c>
    </row>
    <row r="297" spans="14:18" ht="15.6" x14ac:dyDescent="0.25">
      <c r="N297" s="8">
        <v>151500</v>
      </c>
      <c r="R297" s="3">
        <v>7825</v>
      </c>
    </row>
    <row r="298" spans="14:18" ht="15.6" x14ac:dyDescent="0.25">
      <c r="N298" s="8">
        <v>152000</v>
      </c>
      <c r="R298" s="3">
        <v>7850</v>
      </c>
    </row>
    <row r="299" spans="14:18" ht="15.6" x14ac:dyDescent="0.25">
      <c r="N299" s="8">
        <v>152500</v>
      </c>
      <c r="R299" s="3">
        <v>7875</v>
      </c>
    </row>
    <row r="300" spans="14:18" ht="15.6" x14ac:dyDescent="0.25">
      <c r="N300" s="8">
        <v>153000</v>
      </c>
      <c r="R300" s="3">
        <v>7900</v>
      </c>
    </row>
    <row r="301" spans="14:18" ht="15.6" x14ac:dyDescent="0.25">
      <c r="N301" s="8">
        <v>153500</v>
      </c>
      <c r="R301" s="3">
        <v>7925</v>
      </c>
    </row>
    <row r="302" spans="14:18" ht="15.6" x14ac:dyDescent="0.25">
      <c r="N302" s="8">
        <v>154000</v>
      </c>
      <c r="R302" s="3">
        <v>7950</v>
      </c>
    </row>
    <row r="303" spans="14:18" ht="15.6" x14ac:dyDescent="0.25">
      <c r="N303" s="8">
        <v>154500</v>
      </c>
      <c r="R303" s="3">
        <v>7975</v>
      </c>
    </row>
    <row r="304" spans="14:18" ht="15.6" x14ac:dyDescent="0.25">
      <c r="N304" s="8">
        <v>155000</v>
      </c>
      <c r="R304" s="3">
        <v>8000</v>
      </c>
    </row>
    <row r="305" spans="14:18" ht="15.6" x14ac:dyDescent="0.25">
      <c r="N305" s="8">
        <v>155500</v>
      </c>
      <c r="R305" s="3">
        <v>8025</v>
      </c>
    </row>
    <row r="306" spans="14:18" ht="15.6" x14ac:dyDescent="0.25">
      <c r="N306" s="8">
        <v>156000</v>
      </c>
      <c r="R306" s="3">
        <v>8050</v>
      </c>
    </row>
    <row r="307" spans="14:18" ht="15.6" x14ac:dyDescent="0.25">
      <c r="N307" s="8">
        <v>156500</v>
      </c>
      <c r="R307" s="3">
        <v>8075</v>
      </c>
    </row>
    <row r="308" spans="14:18" ht="15.6" x14ac:dyDescent="0.25">
      <c r="N308" s="8">
        <v>157000</v>
      </c>
      <c r="R308" s="3">
        <v>8100</v>
      </c>
    </row>
    <row r="309" spans="14:18" ht="15.6" x14ac:dyDescent="0.25">
      <c r="N309" s="8">
        <v>157500</v>
      </c>
      <c r="R309" s="3">
        <v>8125</v>
      </c>
    </row>
    <row r="310" spans="14:18" ht="15.6" x14ac:dyDescent="0.25">
      <c r="N310" s="8">
        <v>158000</v>
      </c>
      <c r="R310" s="3">
        <v>8150</v>
      </c>
    </row>
    <row r="311" spans="14:18" ht="15.6" x14ac:dyDescent="0.25">
      <c r="N311" s="8">
        <v>158500</v>
      </c>
      <c r="R311" s="3">
        <v>8175</v>
      </c>
    </row>
    <row r="312" spans="14:18" ht="15.6" x14ac:dyDescent="0.25">
      <c r="N312" s="8">
        <v>159000</v>
      </c>
      <c r="R312" s="3">
        <v>8200</v>
      </c>
    </row>
    <row r="313" spans="14:18" ht="15.6" x14ac:dyDescent="0.25">
      <c r="N313" s="8">
        <v>159500</v>
      </c>
      <c r="R313" s="3">
        <v>8225</v>
      </c>
    </row>
    <row r="314" spans="14:18" ht="15.6" x14ac:dyDescent="0.25">
      <c r="N314" s="8">
        <v>160000</v>
      </c>
      <c r="R314" s="3">
        <v>8250</v>
      </c>
    </row>
    <row r="315" spans="14:18" ht="15.6" x14ac:dyDescent="0.25">
      <c r="N315" s="8">
        <v>160500</v>
      </c>
      <c r="R315" s="3">
        <v>8275</v>
      </c>
    </row>
    <row r="316" spans="14:18" ht="15.6" x14ac:dyDescent="0.25">
      <c r="N316" s="8">
        <v>161000</v>
      </c>
      <c r="R316" s="3">
        <v>8300</v>
      </c>
    </row>
    <row r="317" spans="14:18" ht="15.6" x14ac:dyDescent="0.25">
      <c r="N317" s="8">
        <v>161500</v>
      </c>
      <c r="R317" s="3">
        <v>8325</v>
      </c>
    </row>
    <row r="318" spans="14:18" ht="15.6" x14ac:dyDescent="0.25">
      <c r="N318" s="8">
        <v>162000</v>
      </c>
      <c r="R318" s="3">
        <v>8350</v>
      </c>
    </row>
    <row r="319" spans="14:18" ht="15.6" x14ac:dyDescent="0.25">
      <c r="N319" s="8">
        <v>162500</v>
      </c>
      <c r="R319" s="3">
        <v>8375</v>
      </c>
    </row>
    <row r="320" spans="14:18" ht="15.6" x14ac:dyDescent="0.25">
      <c r="N320" s="8">
        <v>163000</v>
      </c>
      <c r="R320" s="3">
        <v>8400</v>
      </c>
    </row>
    <row r="321" spans="14:18" ht="15.6" x14ac:dyDescent="0.25">
      <c r="N321" s="8">
        <v>163500</v>
      </c>
      <c r="R321" s="3">
        <v>8425</v>
      </c>
    </row>
    <row r="322" spans="14:18" ht="15.6" x14ac:dyDescent="0.25">
      <c r="N322" s="8">
        <v>164000</v>
      </c>
      <c r="R322" s="3">
        <v>8450</v>
      </c>
    </row>
    <row r="323" spans="14:18" ht="15.6" x14ac:dyDescent="0.25">
      <c r="N323" s="8">
        <v>164500</v>
      </c>
      <c r="R323" s="3">
        <v>8475</v>
      </c>
    </row>
    <row r="324" spans="14:18" ht="15.6" x14ac:dyDescent="0.25">
      <c r="N324" s="8">
        <v>165000</v>
      </c>
      <c r="R324" s="3">
        <v>8500</v>
      </c>
    </row>
    <row r="325" spans="14:18" ht="15.6" x14ac:dyDescent="0.25">
      <c r="N325" s="8">
        <v>165500</v>
      </c>
      <c r="R325" s="3">
        <v>8525</v>
      </c>
    </row>
    <row r="326" spans="14:18" ht="15.6" x14ac:dyDescent="0.25">
      <c r="N326" s="8">
        <v>166000</v>
      </c>
      <c r="R326" s="3">
        <v>8550</v>
      </c>
    </row>
    <row r="327" spans="14:18" ht="15.6" x14ac:dyDescent="0.25">
      <c r="N327" s="8">
        <v>166500</v>
      </c>
      <c r="R327" s="3">
        <v>8575</v>
      </c>
    </row>
    <row r="328" spans="14:18" ht="15.6" x14ac:dyDescent="0.25">
      <c r="N328" s="8">
        <v>167000</v>
      </c>
      <c r="R328" s="3">
        <v>8600</v>
      </c>
    </row>
    <row r="329" spans="14:18" ht="15.6" x14ac:dyDescent="0.25">
      <c r="N329" s="8">
        <v>167500</v>
      </c>
      <c r="R329" s="3">
        <v>8625</v>
      </c>
    </row>
    <row r="330" spans="14:18" ht="15.6" x14ac:dyDescent="0.25">
      <c r="N330" s="8">
        <v>168000</v>
      </c>
      <c r="R330" s="3">
        <v>8650</v>
      </c>
    </row>
    <row r="331" spans="14:18" ht="15.6" x14ac:dyDescent="0.25">
      <c r="N331" s="8">
        <v>168500</v>
      </c>
      <c r="R331" s="3">
        <v>8675</v>
      </c>
    </row>
    <row r="332" spans="14:18" ht="15.6" x14ac:dyDescent="0.25">
      <c r="N332" s="8">
        <v>169000</v>
      </c>
      <c r="R332" s="3">
        <v>8700</v>
      </c>
    </row>
    <row r="333" spans="14:18" ht="15.6" x14ac:dyDescent="0.25">
      <c r="N333" s="8">
        <v>169500</v>
      </c>
      <c r="R333" s="3">
        <v>8725</v>
      </c>
    </row>
    <row r="334" spans="14:18" ht="15.6" x14ac:dyDescent="0.25">
      <c r="N334" s="8">
        <v>170000</v>
      </c>
      <c r="R334" s="3">
        <v>8750</v>
      </c>
    </row>
    <row r="335" spans="14:18" ht="15.6" x14ac:dyDescent="0.25">
      <c r="N335" s="8">
        <v>170500</v>
      </c>
      <c r="R335" s="3">
        <v>8775</v>
      </c>
    </row>
    <row r="336" spans="14:18" ht="15.6" x14ac:dyDescent="0.25">
      <c r="N336" s="8">
        <v>171000</v>
      </c>
      <c r="R336" s="3">
        <v>8800</v>
      </c>
    </row>
    <row r="337" spans="14:18" ht="15.6" x14ac:dyDescent="0.25">
      <c r="N337" s="8">
        <v>171500</v>
      </c>
      <c r="R337" s="3">
        <v>8825</v>
      </c>
    </row>
    <row r="338" spans="14:18" ht="15.6" x14ac:dyDescent="0.25">
      <c r="N338" s="8">
        <v>172000</v>
      </c>
      <c r="R338" s="3">
        <v>8850</v>
      </c>
    </row>
    <row r="339" spans="14:18" ht="15.6" x14ac:dyDescent="0.25">
      <c r="N339" s="8">
        <v>172500</v>
      </c>
      <c r="R339" s="3">
        <v>8875</v>
      </c>
    </row>
    <row r="340" spans="14:18" ht="15.6" x14ac:dyDescent="0.25">
      <c r="N340" s="8">
        <v>173000</v>
      </c>
      <c r="R340" s="3">
        <v>8900</v>
      </c>
    </row>
    <row r="341" spans="14:18" ht="15.6" x14ac:dyDescent="0.25">
      <c r="N341" s="8">
        <v>173500</v>
      </c>
      <c r="R341" s="3">
        <v>8925</v>
      </c>
    </row>
    <row r="342" spans="14:18" ht="15.6" x14ac:dyDescent="0.25">
      <c r="N342" s="8">
        <v>174000</v>
      </c>
      <c r="R342" s="3">
        <v>8950</v>
      </c>
    </row>
    <row r="343" spans="14:18" ht="15.6" x14ac:dyDescent="0.25">
      <c r="N343" s="8">
        <v>174500</v>
      </c>
      <c r="R343" s="3">
        <v>8975</v>
      </c>
    </row>
    <row r="344" spans="14:18" ht="15.6" x14ac:dyDescent="0.25">
      <c r="N344" s="8">
        <v>175000</v>
      </c>
      <c r="R344" s="3">
        <v>9000</v>
      </c>
    </row>
    <row r="345" spans="14:18" ht="15.6" x14ac:dyDescent="0.25">
      <c r="N345" s="8">
        <v>175500</v>
      </c>
      <c r="R345" s="3">
        <v>9025</v>
      </c>
    </row>
    <row r="346" spans="14:18" ht="15.6" x14ac:dyDescent="0.25">
      <c r="N346" s="8">
        <v>176000</v>
      </c>
      <c r="R346" s="3">
        <v>9050</v>
      </c>
    </row>
    <row r="347" spans="14:18" ht="15.6" x14ac:dyDescent="0.25">
      <c r="N347" s="8">
        <v>176500</v>
      </c>
      <c r="R347" s="3">
        <v>9075</v>
      </c>
    </row>
    <row r="348" spans="14:18" ht="15.6" x14ac:dyDescent="0.25">
      <c r="N348" s="8">
        <v>177000</v>
      </c>
      <c r="R348" s="3">
        <v>9100</v>
      </c>
    </row>
    <row r="349" spans="14:18" ht="15.6" x14ac:dyDescent="0.25">
      <c r="N349" s="8">
        <v>177500</v>
      </c>
      <c r="R349" s="3">
        <v>9125</v>
      </c>
    </row>
    <row r="350" spans="14:18" ht="15.6" x14ac:dyDescent="0.25">
      <c r="N350" s="8">
        <v>178000</v>
      </c>
      <c r="R350" s="3">
        <v>9150</v>
      </c>
    </row>
    <row r="351" spans="14:18" ht="15.6" x14ac:dyDescent="0.25">
      <c r="N351" s="8">
        <v>178500</v>
      </c>
      <c r="R351" s="3">
        <v>9175</v>
      </c>
    </row>
    <row r="352" spans="14:18" ht="15.6" x14ac:dyDescent="0.25">
      <c r="N352" s="8">
        <v>179000</v>
      </c>
      <c r="R352" s="3">
        <v>9200</v>
      </c>
    </row>
    <row r="353" spans="14:18" ht="15.6" x14ac:dyDescent="0.25">
      <c r="N353" s="8">
        <v>179500</v>
      </c>
      <c r="R353" s="3">
        <v>9225</v>
      </c>
    </row>
    <row r="354" spans="14:18" ht="15.6" x14ac:dyDescent="0.25">
      <c r="N354" s="8">
        <v>180000</v>
      </c>
      <c r="R354" s="3">
        <v>9250</v>
      </c>
    </row>
    <row r="355" spans="14:18" ht="15.6" x14ac:dyDescent="0.25">
      <c r="N355" s="8">
        <v>180500</v>
      </c>
      <c r="R355" s="3">
        <v>9275</v>
      </c>
    </row>
    <row r="356" spans="14:18" ht="15.6" x14ac:dyDescent="0.25">
      <c r="N356" s="8">
        <v>181000</v>
      </c>
      <c r="R356" s="3">
        <v>9300</v>
      </c>
    </row>
    <row r="357" spans="14:18" ht="15.6" x14ac:dyDescent="0.25">
      <c r="N357" s="8">
        <v>181500</v>
      </c>
      <c r="R357" s="3">
        <v>9325</v>
      </c>
    </row>
    <row r="358" spans="14:18" ht="15.6" x14ac:dyDescent="0.25">
      <c r="N358" s="8">
        <v>182000</v>
      </c>
      <c r="R358" s="3">
        <v>9350</v>
      </c>
    </row>
    <row r="359" spans="14:18" ht="15.6" x14ac:dyDescent="0.25">
      <c r="N359" s="8">
        <v>182500</v>
      </c>
      <c r="R359" s="3">
        <v>9375</v>
      </c>
    </row>
    <row r="360" spans="14:18" ht="15.6" x14ac:dyDescent="0.25">
      <c r="N360" s="8">
        <v>183000</v>
      </c>
      <c r="R360" s="3">
        <v>9400</v>
      </c>
    </row>
    <row r="361" spans="14:18" ht="15.6" x14ac:dyDescent="0.25">
      <c r="N361" s="8">
        <v>183500</v>
      </c>
      <c r="R361" s="3">
        <v>9425</v>
      </c>
    </row>
    <row r="362" spans="14:18" ht="15.6" x14ac:dyDescent="0.25">
      <c r="N362" s="8">
        <v>184000</v>
      </c>
      <c r="R362" s="3">
        <v>9450</v>
      </c>
    </row>
    <row r="363" spans="14:18" ht="15.6" x14ac:dyDescent="0.25">
      <c r="N363" s="8">
        <v>184500</v>
      </c>
      <c r="R363" s="3">
        <v>9475</v>
      </c>
    </row>
    <row r="364" spans="14:18" ht="15.6" x14ac:dyDescent="0.25">
      <c r="N364" s="8">
        <v>185000</v>
      </c>
      <c r="R364" s="3">
        <v>9500</v>
      </c>
    </row>
    <row r="365" spans="14:18" ht="15.6" x14ac:dyDescent="0.25">
      <c r="N365" s="8">
        <v>185500</v>
      </c>
      <c r="R365" s="3">
        <v>9525</v>
      </c>
    </row>
    <row r="366" spans="14:18" ht="15.6" x14ac:dyDescent="0.25">
      <c r="N366" s="8">
        <v>186000</v>
      </c>
      <c r="R366" s="3">
        <v>9550</v>
      </c>
    </row>
    <row r="367" spans="14:18" ht="15.6" x14ac:dyDescent="0.25">
      <c r="N367" s="8">
        <v>186500</v>
      </c>
      <c r="R367" s="3">
        <v>9575</v>
      </c>
    </row>
    <row r="368" spans="14:18" ht="15.6" x14ac:dyDescent="0.25">
      <c r="N368" s="8">
        <v>187000</v>
      </c>
      <c r="R368" s="3">
        <v>9600</v>
      </c>
    </row>
    <row r="369" spans="14:18" ht="15.6" x14ac:dyDescent="0.25">
      <c r="N369" s="8">
        <v>187500</v>
      </c>
      <c r="R369" s="3">
        <v>9625</v>
      </c>
    </row>
    <row r="370" spans="14:18" ht="15.6" x14ac:dyDescent="0.25">
      <c r="N370" s="8">
        <v>188000</v>
      </c>
      <c r="R370" s="3">
        <v>9650</v>
      </c>
    </row>
    <row r="371" spans="14:18" ht="15.6" x14ac:dyDescent="0.25">
      <c r="N371" s="8">
        <v>188500</v>
      </c>
      <c r="R371" s="3">
        <v>9675</v>
      </c>
    </row>
    <row r="372" spans="14:18" ht="15.6" x14ac:dyDescent="0.25">
      <c r="N372" s="8">
        <v>189000</v>
      </c>
      <c r="R372" s="3">
        <v>9700</v>
      </c>
    </row>
    <row r="373" spans="14:18" ht="15.6" x14ac:dyDescent="0.25">
      <c r="N373" s="8">
        <v>189500</v>
      </c>
      <c r="R373" s="3">
        <v>9725</v>
      </c>
    </row>
    <row r="374" spans="14:18" ht="15.6" x14ac:dyDescent="0.25">
      <c r="N374" s="8">
        <v>190000</v>
      </c>
      <c r="R374" s="3">
        <v>9750</v>
      </c>
    </row>
    <row r="375" spans="14:18" ht="15.6" x14ac:dyDescent="0.25">
      <c r="N375" s="8">
        <v>190500</v>
      </c>
      <c r="R375" s="3">
        <v>9775</v>
      </c>
    </row>
    <row r="376" spans="14:18" ht="15.6" x14ac:dyDescent="0.25">
      <c r="N376" s="8">
        <v>191000</v>
      </c>
      <c r="R376" s="3">
        <v>9800</v>
      </c>
    </row>
    <row r="377" spans="14:18" ht="15.6" x14ac:dyDescent="0.25">
      <c r="N377" s="8">
        <v>191500</v>
      </c>
      <c r="R377" s="3">
        <v>9825</v>
      </c>
    </row>
    <row r="378" spans="14:18" ht="15.6" x14ac:dyDescent="0.25">
      <c r="N378" s="8">
        <v>192000</v>
      </c>
      <c r="R378" s="3">
        <v>9850</v>
      </c>
    </row>
    <row r="379" spans="14:18" ht="15.6" x14ac:dyDescent="0.25">
      <c r="N379" s="8">
        <v>192500</v>
      </c>
      <c r="R379" s="3">
        <v>9875</v>
      </c>
    </row>
    <row r="380" spans="14:18" ht="15.6" x14ac:dyDescent="0.25">
      <c r="N380" s="8">
        <v>193000</v>
      </c>
      <c r="R380" s="3">
        <v>9900</v>
      </c>
    </row>
    <row r="381" spans="14:18" ht="15.6" x14ac:dyDescent="0.25">
      <c r="N381" s="8">
        <v>193500</v>
      </c>
      <c r="R381" s="3">
        <v>9925</v>
      </c>
    </row>
    <row r="382" spans="14:18" ht="15.6" x14ac:dyDescent="0.25">
      <c r="N382" s="8">
        <v>194000</v>
      </c>
      <c r="R382" s="3">
        <v>9950</v>
      </c>
    </row>
    <row r="383" spans="14:18" ht="15.6" x14ac:dyDescent="0.25">
      <c r="N383" s="8">
        <v>194500</v>
      </c>
      <c r="R383" s="3">
        <v>9975</v>
      </c>
    </row>
    <row r="384" spans="14:18" ht="15.6" x14ac:dyDescent="0.25">
      <c r="N384" s="8">
        <v>195000</v>
      </c>
      <c r="R384" s="3">
        <v>10000</v>
      </c>
    </row>
    <row r="385" spans="14:18" ht="15.6" x14ac:dyDescent="0.25">
      <c r="N385" s="8">
        <v>195500</v>
      </c>
      <c r="R385" s="3">
        <v>10025</v>
      </c>
    </row>
    <row r="386" spans="14:18" ht="15.6" x14ac:dyDescent="0.25">
      <c r="N386" s="8">
        <v>196000</v>
      </c>
      <c r="R386" s="3">
        <v>10050</v>
      </c>
    </row>
    <row r="387" spans="14:18" ht="15.6" x14ac:dyDescent="0.25">
      <c r="N387" s="8">
        <v>196500</v>
      </c>
      <c r="R387" s="3">
        <v>10075</v>
      </c>
    </row>
    <row r="388" spans="14:18" ht="15.6" x14ac:dyDescent="0.25">
      <c r="N388" s="8">
        <v>197000</v>
      </c>
      <c r="R388" s="3">
        <v>10100</v>
      </c>
    </row>
    <row r="389" spans="14:18" ht="15.6" x14ac:dyDescent="0.25">
      <c r="N389" s="8">
        <v>197500</v>
      </c>
      <c r="R389" s="3">
        <v>10125</v>
      </c>
    </row>
    <row r="390" spans="14:18" ht="15.6" x14ac:dyDescent="0.25">
      <c r="N390" s="8">
        <v>198000</v>
      </c>
      <c r="R390" s="3">
        <v>10150</v>
      </c>
    </row>
    <row r="391" spans="14:18" ht="15.6" x14ac:dyDescent="0.25">
      <c r="N391" s="8">
        <v>198500</v>
      </c>
      <c r="R391" s="3">
        <v>10175</v>
      </c>
    </row>
    <row r="392" spans="14:18" ht="15.6" x14ac:dyDescent="0.25">
      <c r="N392" s="8">
        <v>199000</v>
      </c>
      <c r="R392" s="3">
        <v>10200</v>
      </c>
    </row>
    <row r="393" spans="14:18" ht="15.6" x14ac:dyDescent="0.25">
      <c r="N393" s="8">
        <v>199500</v>
      </c>
      <c r="R393" s="3">
        <v>10225</v>
      </c>
    </row>
    <row r="394" spans="14:18" ht="15.6" x14ac:dyDescent="0.25">
      <c r="N394" s="8">
        <v>200000</v>
      </c>
      <c r="R394" s="3">
        <v>10250</v>
      </c>
    </row>
    <row r="395" spans="14:18" ht="15.6" x14ac:dyDescent="0.25">
      <c r="N395" s="8">
        <v>200500</v>
      </c>
      <c r="R395" s="3">
        <v>10275</v>
      </c>
    </row>
    <row r="396" spans="14:18" ht="15.6" x14ac:dyDescent="0.25">
      <c r="N396" s="8">
        <v>201000</v>
      </c>
      <c r="R396" s="3">
        <v>10300</v>
      </c>
    </row>
    <row r="397" spans="14:18" ht="15.6" x14ac:dyDescent="0.25">
      <c r="N397" s="8">
        <v>201500</v>
      </c>
      <c r="R397" s="3">
        <v>10325</v>
      </c>
    </row>
    <row r="398" spans="14:18" ht="15.6" x14ac:dyDescent="0.25">
      <c r="N398" s="8">
        <v>202000</v>
      </c>
      <c r="R398" s="3">
        <v>10350</v>
      </c>
    </row>
    <row r="399" spans="14:18" ht="15.6" x14ac:dyDescent="0.25">
      <c r="N399" s="8">
        <v>202500</v>
      </c>
      <c r="R399" s="3">
        <v>10375</v>
      </c>
    </row>
    <row r="400" spans="14:18" ht="15.6" x14ac:dyDescent="0.25">
      <c r="N400" s="8">
        <v>203000</v>
      </c>
      <c r="R400" s="3">
        <v>10400</v>
      </c>
    </row>
    <row r="401" spans="14:18" ht="15.6" x14ac:dyDescent="0.25">
      <c r="N401" s="8">
        <v>203500</v>
      </c>
      <c r="R401" s="3">
        <v>10425</v>
      </c>
    </row>
    <row r="402" spans="14:18" ht="15.6" x14ac:dyDescent="0.25">
      <c r="N402" s="8">
        <v>204000</v>
      </c>
      <c r="R402" s="3">
        <v>10450</v>
      </c>
    </row>
    <row r="403" spans="14:18" ht="15.6" x14ac:dyDescent="0.25">
      <c r="N403" s="8">
        <v>204500</v>
      </c>
      <c r="R403" s="3">
        <v>10475</v>
      </c>
    </row>
    <row r="404" spans="14:18" ht="15.6" x14ac:dyDescent="0.25">
      <c r="N404" s="8">
        <v>205000</v>
      </c>
      <c r="R404" s="3">
        <v>10500</v>
      </c>
    </row>
    <row r="405" spans="14:18" ht="15.6" x14ac:dyDescent="0.25">
      <c r="N405" s="8">
        <v>205500</v>
      </c>
      <c r="R405" s="3">
        <v>10525</v>
      </c>
    </row>
    <row r="406" spans="14:18" ht="15.6" x14ac:dyDescent="0.25">
      <c r="N406" s="8">
        <v>206000</v>
      </c>
      <c r="R406" s="3">
        <v>10550</v>
      </c>
    </row>
    <row r="407" spans="14:18" ht="15.6" x14ac:dyDescent="0.25">
      <c r="N407" s="8">
        <v>206500</v>
      </c>
      <c r="R407" s="3">
        <v>10575</v>
      </c>
    </row>
    <row r="408" spans="14:18" ht="15.6" x14ac:dyDescent="0.25">
      <c r="N408" s="8">
        <v>207000</v>
      </c>
      <c r="R408" s="3">
        <v>10600</v>
      </c>
    </row>
    <row r="409" spans="14:18" ht="15.6" x14ac:dyDescent="0.25">
      <c r="N409" s="8">
        <v>207500</v>
      </c>
      <c r="R409" s="3">
        <v>10625</v>
      </c>
    </row>
    <row r="410" spans="14:18" ht="15.6" x14ac:dyDescent="0.25">
      <c r="N410" s="8">
        <v>208000</v>
      </c>
      <c r="R410" s="3">
        <v>10650</v>
      </c>
    </row>
    <row r="411" spans="14:18" ht="15.6" x14ac:dyDescent="0.25">
      <c r="N411" s="8">
        <v>208500</v>
      </c>
      <c r="R411" s="3">
        <v>10675</v>
      </c>
    </row>
    <row r="412" spans="14:18" ht="15.6" x14ac:dyDescent="0.25">
      <c r="N412" s="8">
        <v>209000</v>
      </c>
      <c r="R412" s="3">
        <v>10700</v>
      </c>
    </row>
    <row r="413" spans="14:18" ht="15.6" x14ac:dyDescent="0.25">
      <c r="N413" s="8">
        <v>209500</v>
      </c>
      <c r="R413" s="3">
        <v>10725</v>
      </c>
    </row>
    <row r="414" spans="14:18" ht="15.6" x14ac:dyDescent="0.25">
      <c r="N414" s="8">
        <v>210000</v>
      </c>
      <c r="R414" s="3">
        <v>10750</v>
      </c>
    </row>
    <row r="415" spans="14:18" ht="15.6" x14ac:dyDescent="0.25">
      <c r="N415" s="8">
        <v>210500</v>
      </c>
      <c r="R415" s="3">
        <v>10775</v>
      </c>
    </row>
    <row r="416" spans="14:18" ht="15.6" x14ac:dyDescent="0.25">
      <c r="N416" s="8">
        <v>211000</v>
      </c>
      <c r="R416" s="3">
        <v>10800</v>
      </c>
    </row>
    <row r="417" spans="14:18" ht="15.6" x14ac:dyDescent="0.25">
      <c r="N417" s="8">
        <v>211500</v>
      </c>
      <c r="R417" s="3">
        <v>10825</v>
      </c>
    </row>
    <row r="418" spans="14:18" ht="15.6" x14ac:dyDescent="0.25">
      <c r="N418" s="8">
        <v>212000</v>
      </c>
      <c r="R418" s="3">
        <v>10850</v>
      </c>
    </row>
    <row r="419" spans="14:18" ht="15.6" x14ac:dyDescent="0.25">
      <c r="N419" s="8">
        <v>212500</v>
      </c>
      <c r="R419" s="3">
        <v>10875</v>
      </c>
    </row>
    <row r="420" spans="14:18" ht="15.6" x14ac:dyDescent="0.25">
      <c r="N420" s="8">
        <v>213000</v>
      </c>
      <c r="R420" s="3">
        <v>10900</v>
      </c>
    </row>
    <row r="421" spans="14:18" ht="15.6" x14ac:dyDescent="0.25">
      <c r="N421" s="8">
        <v>213500</v>
      </c>
      <c r="R421" s="3">
        <v>10925</v>
      </c>
    </row>
    <row r="422" spans="14:18" ht="15.6" x14ac:dyDescent="0.25">
      <c r="N422" s="8">
        <v>214000</v>
      </c>
      <c r="R422" s="3">
        <v>10950</v>
      </c>
    </row>
    <row r="423" spans="14:18" ht="15.6" x14ac:dyDescent="0.25">
      <c r="N423" s="8">
        <v>214500</v>
      </c>
      <c r="R423" s="3">
        <v>10975</v>
      </c>
    </row>
    <row r="424" spans="14:18" ht="15.6" x14ac:dyDescent="0.25">
      <c r="N424" s="8">
        <v>215000</v>
      </c>
      <c r="R424" s="3">
        <v>11000</v>
      </c>
    </row>
    <row r="425" spans="14:18" ht="15.6" x14ac:dyDescent="0.25">
      <c r="N425" s="8">
        <v>215500</v>
      </c>
      <c r="R425" s="3">
        <v>11025</v>
      </c>
    </row>
    <row r="426" spans="14:18" ht="15.6" x14ac:dyDescent="0.25">
      <c r="N426" s="8">
        <v>216000</v>
      </c>
      <c r="R426" s="3">
        <v>11050</v>
      </c>
    </row>
    <row r="427" spans="14:18" ht="15.6" x14ac:dyDescent="0.25">
      <c r="N427" s="8">
        <v>216500</v>
      </c>
      <c r="R427" s="3">
        <v>11075</v>
      </c>
    </row>
    <row r="428" spans="14:18" ht="15.6" x14ac:dyDescent="0.25">
      <c r="N428" s="8">
        <v>217000</v>
      </c>
      <c r="R428" s="3">
        <v>11100</v>
      </c>
    </row>
    <row r="429" spans="14:18" ht="15.6" x14ac:dyDescent="0.25">
      <c r="N429" s="8">
        <v>217500</v>
      </c>
      <c r="R429" s="3">
        <v>11125</v>
      </c>
    </row>
    <row r="430" spans="14:18" ht="15.6" x14ac:dyDescent="0.25">
      <c r="N430" s="8">
        <v>218000</v>
      </c>
      <c r="R430" s="3">
        <v>11150</v>
      </c>
    </row>
    <row r="431" spans="14:18" ht="15.6" x14ac:dyDescent="0.25">
      <c r="N431" s="8">
        <v>218500</v>
      </c>
      <c r="R431" s="3">
        <v>11175</v>
      </c>
    </row>
    <row r="432" spans="14:18" ht="15.6" x14ac:dyDescent="0.25">
      <c r="N432" s="8">
        <v>219000</v>
      </c>
      <c r="R432" s="3">
        <v>11200</v>
      </c>
    </row>
    <row r="433" spans="14:18" ht="15.6" x14ac:dyDescent="0.25">
      <c r="N433" s="8">
        <v>219500</v>
      </c>
      <c r="R433" s="3">
        <v>11225</v>
      </c>
    </row>
    <row r="434" spans="14:18" ht="15.6" x14ac:dyDescent="0.25">
      <c r="N434" s="8">
        <v>220000</v>
      </c>
      <c r="R434" s="3">
        <v>11250</v>
      </c>
    </row>
    <row r="435" spans="14:18" ht="15.6" x14ac:dyDescent="0.25">
      <c r="N435" s="8">
        <v>220500</v>
      </c>
      <c r="R435" s="3">
        <v>11275</v>
      </c>
    </row>
    <row r="436" spans="14:18" ht="15.6" x14ac:dyDescent="0.25">
      <c r="N436" s="8">
        <v>221000</v>
      </c>
      <c r="R436" s="3">
        <v>11300</v>
      </c>
    </row>
    <row r="437" spans="14:18" ht="15.6" x14ac:dyDescent="0.25">
      <c r="N437" s="8">
        <v>221500</v>
      </c>
      <c r="R437" s="3">
        <v>11325</v>
      </c>
    </row>
    <row r="438" spans="14:18" ht="15.6" x14ac:dyDescent="0.25">
      <c r="N438" s="8">
        <v>222000</v>
      </c>
      <c r="R438" s="3">
        <v>11350</v>
      </c>
    </row>
    <row r="439" spans="14:18" ht="15.6" x14ac:dyDescent="0.25">
      <c r="N439" s="8">
        <v>222500</v>
      </c>
      <c r="R439" s="3">
        <v>11375</v>
      </c>
    </row>
    <row r="440" spans="14:18" ht="15.6" x14ac:dyDescent="0.25">
      <c r="N440" s="8">
        <v>223000</v>
      </c>
      <c r="R440" s="3">
        <v>11400</v>
      </c>
    </row>
    <row r="441" spans="14:18" ht="15.6" x14ac:dyDescent="0.25">
      <c r="N441" s="8">
        <v>223500</v>
      </c>
      <c r="R441" s="3">
        <v>11425</v>
      </c>
    </row>
    <row r="442" spans="14:18" ht="15.6" x14ac:dyDescent="0.25">
      <c r="N442" s="8">
        <v>224000</v>
      </c>
      <c r="R442" s="3">
        <v>11450</v>
      </c>
    </row>
    <row r="443" spans="14:18" ht="15.6" x14ac:dyDescent="0.25">
      <c r="N443" s="8">
        <v>224500</v>
      </c>
      <c r="R443" s="3">
        <v>11475</v>
      </c>
    </row>
    <row r="444" spans="14:18" ht="15.6" x14ac:dyDescent="0.25">
      <c r="N444" s="8">
        <v>225000</v>
      </c>
      <c r="R444" s="3">
        <v>11500</v>
      </c>
    </row>
    <row r="445" spans="14:18" ht="15.6" x14ac:dyDescent="0.25">
      <c r="N445" s="8">
        <v>225500</v>
      </c>
      <c r="R445" s="3">
        <v>11525</v>
      </c>
    </row>
    <row r="446" spans="14:18" ht="15.6" x14ac:dyDescent="0.25">
      <c r="N446" s="8">
        <v>226000</v>
      </c>
      <c r="R446" s="3">
        <v>11550</v>
      </c>
    </row>
    <row r="447" spans="14:18" ht="15.6" x14ac:dyDescent="0.25">
      <c r="N447" s="8">
        <v>226500</v>
      </c>
      <c r="R447" s="3">
        <v>11575</v>
      </c>
    </row>
    <row r="448" spans="14:18" ht="15.6" x14ac:dyDescent="0.25">
      <c r="N448" s="8">
        <v>227000</v>
      </c>
      <c r="R448" s="3">
        <v>11600</v>
      </c>
    </row>
    <row r="449" spans="14:18" ht="15.6" x14ac:dyDescent="0.25">
      <c r="N449" s="8">
        <v>227500</v>
      </c>
      <c r="R449" s="3">
        <v>11625</v>
      </c>
    </row>
    <row r="450" spans="14:18" ht="15.6" x14ac:dyDescent="0.25">
      <c r="N450" s="8">
        <v>228000</v>
      </c>
      <c r="R450" s="3">
        <v>11650</v>
      </c>
    </row>
    <row r="451" spans="14:18" ht="15.6" x14ac:dyDescent="0.25">
      <c r="N451" s="8">
        <v>228500</v>
      </c>
      <c r="R451" s="3">
        <v>11675</v>
      </c>
    </row>
    <row r="452" spans="14:18" ht="15.6" x14ac:dyDescent="0.25">
      <c r="N452" s="8">
        <v>229000</v>
      </c>
      <c r="R452" s="3">
        <v>11700</v>
      </c>
    </row>
    <row r="453" spans="14:18" ht="15.6" x14ac:dyDescent="0.25">
      <c r="N453" s="8">
        <v>229500</v>
      </c>
      <c r="R453" s="3">
        <v>11725</v>
      </c>
    </row>
    <row r="454" spans="14:18" ht="15.6" x14ac:dyDescent="0.25">
      <c r="N454" s="8">
        <v>230000</v>
      </c>
      <c r="R454" s="3">
        <v>11750</v>
      </c>
    </row>
    <row r="455" spans="14:18" ht="15.6" x14ac:dyDescent="0.25">
      <c r="N455" s="8">
        <v>230500</v>
      </c>
      <c r="R455" s="3">
        <v>11775</v>
      </c>
    </row>
    <row r="456" spans="14:18" ht="15.6" x14ac:dyDescent="0.25">
      <c r="N456" s="8">
        <v>231000</v>
      </c>
      <c r="R456" s="3">
        <v>11800</v>
      </c>
    </row>
    <row r="457" spans="14:18" ht="15.6" x14ac:dyDescent="0.25">
      <c r="N457" s="8">
        <v>231500</v>
      </c>
      <c r="R457" s="3">
        <v>11825</v>
      </c>
    </row>
    <row r="458" spans="14:18" ht="15.6" x14ac:dyDescent="0.25">
      <c r="N458" s="8">
        <v>232000</v>
      </c>
      <c r="R458" s="3">
        <v>11850</v>
      </c>
    </row>
    <row r="459" spans="14:18" ht="15.6" x14ac:dyDescent="0.25">
      <c r="N459" s="8">
        <v>232500</v>
      </c>
      <c r="R459" s="3">
        <v>11875</v>
      </c>
    </row>
    <row r="460" spans="14:18" ht="15.6" x14ac:dyDescent="0.25">
      <c r="N460" s="8">
        <v>233000</v>
      </c>
      <c r="R460" s="3">
        <v>11900</v>
      </c>
    </row>
    <row r="461" spans="14:18" ht="15.6" x14ac:dyDescent="0.25">
      <c r="N461" s="8">
        <v>233500</v>
      </c>
      <c r="R461" s="3">
        <v>11925</v>
      </c>
    </row>
    <row r="462" spans="14:18" ht="15.6" x14ac:dyDescent="0.25">
      <c r="N462" s="8">
        <v>234000</v>
      </c>
      <c r="R462" s="3">
        <v>11950</v>
      </c>
    </row>
    <row r="463" spans="14:18" ht="15.6" x14ac:dyDescent="0.25">
      <c r="N463" s="8">
        <v>234500</v>
      </c>
      <c r="R463" s="3">
        <v>11975</v>
      </c>
    </row>
    <row r="464" spans="14:18" ht="15.6" x14ac:dyDescent="0.25">
      <c r="N464" s="8">
        <v>235000</v>
      </c>
      <c r="R464" s="3">
        <v>12000</v>
      </c>
    </row>
    <row r="465" spans="14:18" ht="15.6" x14ac:dyDescent="0.25">
      <c r="N465" s="8">
        <v>235500</v>
      </c>
      <c r="R465" s="3">
        <v>12025</v>
      </c>
    </row>
    <row r="466" spans="14:18" ht="15.6" x14ac:dyDescent="0.25">
      <c r="N466" s="8">
        <v>236000</v>
      </c>
      <c r="R466" s="3">
        <v>12050</v>
      </c>
    </row>
    <row r="467" spans="14:18" ht="15.6" x14ac:dyDescent="0.25">
      <c r="N467" s="8">
        <v>236500</v>
      </c>
      <c r="R467" s="3">
        <v>12075</v>
      </c>
    </row>
    <row r="468" spans="14:18" ht="15.6" x14ac:dyDescent="0.25">
      <c r="N468" s="8">
        <v>237000</v>
      </c>
      <c r="R468" s="3">
        <v>12100</v>
      </c>
    </row>
    <row r="469" spans="14:18" ht="15.6" x14ac:dyDescent="0.25">
      <c r="N469" s="8">
        <v>237500</v>
      </c>
      <c r="R469" s="3">
        <v>12125</v>
      </c>
    </row>
    <row r="470" spans="14:18" ht="15.6" x14ac:dyDescent="0.25">
      <c r="N470" s="8">
        <v>238000</v>
      </c>
      <c r="R470" s="3">
        <v>12150</v>
      </c>
    </row>
    <row r="471" spans="14:18" ht="15.6" x14ac:dyDescent="0.25">
      <c r="N471" s="8">
        <v>238500</v>
      </c>
      <c r="R471" s="3">
        <v>12175</v>
      </c>
    </row>
    <row r="472" spans="14:18" ht="15.6" x14ac:dyDescent="0.25">
      <c r="N472" s="8">
        <v>239000</v>
      </c>
      <c r="R472" s="3">
        <v>12200</v>
      </c>
    </row>
    <row r="473" spans="14:18" ht="15.6" x14ac:dyDescent="0.25">
      <c r="N473" s="8">
        <v>239500</v>
      </c>
      <c r="R473" s="3">
        <v>12225</v>
      </c>
    </row>
    <row r="474" spans="14:18" ht="15.6" x14ac:dyDescent="0.25">
      <c r="N474" s="8">
        <v>240000</v>
      </c>
      <c r="R474" s="3">
        <v>12250</v>
      </c>
    </row>
    <row r="475" spans="14:18" ht="15.6" x14ac:dyDescent="0.25">
      <c r="N475" s="8">
        <v>240500</v>
      </c>
      <c r="R475" s="3">
        <v>12275</v>
      </c>
    </row>
    <row r="476" spans="14:18" ht="15.6" x14ac:dyDescent="0.25">
      <c r="N476" s="8">
        <v>241000</v>
      </c>
      <c r="R476" s="3">
        <v>12300</v>
      </c>
    </row>
    <row r="477" spans="14:18" ht="15.6" x14ac:dyDescent="0.25">
      <c r="N477" s="8">
        <v>241500</v>
      </c>
      <c r="R477" s="3">
        <v>12325</v>
      </c>
    </row>
    <row r="478" spans="14:18" ht="15.6" x14ac:dyDescent="0.25">
      <c r="N478" s="8">
        <v>242000</v>
      </c>
      <c r="R478" s="3">
        <v>12350</v>
      </c>
    </row>
    <row r="479" spans="14:18" ht="15.6" x14ac:dyDescent="0.25">
      <c r="N479" s="8">
        <v>242500</v>
      </c>
      <c r="R479" s="3">
        <v>12375</v>
      </c>
    </row>
    <row r="480" spans="14:18" ht="15.6" x14ac:dyDescent="0.25">
      <c r="N480" s="8">
        <v>243000</v>
      </c>
      <c r="R480" s="3">
        <v>12400</v>
      </c>
    </row>
    <row r="481" spans="14:18" ht="15.6" x14ac:dyDescent="0.25">
      <c r="N481" s="8">
        <v>243500</v>
      </c>
      <c r="R481" s="3">
        <v>12425</v>
      </c>
    </row>
    <row r="482" spans="14:18" ht="15.6" x14ac:dyDescent="0.25">
      <c r="N482" s="8">
        <v>244000</v>
      </c>
      <c r="R482" s="3">
        <v>12450</v>
      </c>
    </row>
    <row r="483" spans="14:18" ht="15.6" x14ac:dyDescent="0.25">
      <c r="N483" s="8">
        <v>244500</v>
      </c>
      <c r="R483" s="3">
        <v>12475</v>
      </c>
    </row>
    <row r="484" spans="14:18" ht="15.6" x14ac:dyDescent="0.25">
      <c r="N484" s="8">
        <v>245000</v>
      </c>
      <c r="R484" s="3">
        <v>12500</v>
      </c>
    </row>
    <row r="485" spans="14:18" ht="15.6" x14ac:dyDescent="0.25">
      <c r="N485" s="8">
        <v>245500</v>
      </c>
      <c r="R485" s="3">
        <v>12525</v>
      </c>
    </row>
    <row r="486" spans="14:18" ht="15.6" x14ac:dyDescent="0.25">
      <c r="N486" s="8">
        <v>246000</v>
      </c>
      <c r="R486" s="3">
        <v>12550</v>
      </c>
    </row>
    <row r="487" spans="14:18" ht="15.6" x14ac:dyDescent="0.25">
      <c r="N487" s="8">
        <v>246500</v>
      </c>
      <c r="R487" s="3">
        <v>12575</v>
      </c>
    </row>
    <row r="488" spans="14:18" ht="15.6" x14ac:dyDescent="0.25">
      <c r="N488" s="8">
        <v>247000</v>
      </c>
      <c r="R488" s="3">
        <v>12600</v>
      </c>
    </row>
    <row r="489" spans="14:18" ht="15.6" x14ac:dyDescent="0.25">
      <c r="N489" s="8">
        <v>247500</v>
      </c>
      <c r="R489" s="3">
        <v>12625</v>
      </c>
    </row>
    <row r="490" spans="14:18" ht="15.6" x14ac:dyDescent="0.25">
      <c r="N490" s="8">
        <v>248000</v>
      </c>
      <c r="R490" s="3">
        <v>12650</v>
      </c>
    </row>
    <row r="491" spans="14:18" ht="15.6" x14ac:dyDescent="0.25">
      <c r="N491" s="8">
        <v>248500</v>
      </c>
      <c r="R491" s="3">
        <v>12675</v>
      </c>
    </row>
    <row r="492" spans="14:18" ht="15.6" x14ac:dyDescent="0.25">
      <c r="N492" s="8">
        <v>249000</v>
      </c>
      <c r="R492" s="3">
        <v>12700</v>
      </c>
    </row>
    <row r="493" spans="14:18" ht="15.6" x14ac:dyDescent="0.25">
      <c r="N493" s="8">
        <v>249500</v>
      </c>
      <c r="R493" s="3">
        <v>12725</v>
      </c>
    </row>
    <row r="494" spans="14:18" ht="15.6" x14ac:dyDescent="0.25">
      <c r="N494" s="8">
        <v>250000</v>
      </c>
      <c r="R494" s="3">
        <v>12750</v>
      </c>
    </row>
    <row r="495" spans="14:18" ht="15.6" x14ac:dyDescent="0.25">
      <c r="N495" s="8">
        <v>250500</v>
      </c>
      <c r="R495" s="3">
        <v>12775</v>
      </c>
    </row>
    <row r="496" spans="14:18" ht="15.6" x14ac:dyDescent="0.25">
      <c r="N496" s="8">
        <v>251000</v>
      </c>
    </row>
    <row r="497" spans="14:14" ht="15.6" x14ac:dyDescent="0.25">
      <c r="N497" s="8">
        <v>251500</v>
      </c>
    </row>
    <row r="498" spans="14:14" ht="15.6" x14ac:dyDescent="0.25">
      <c r="N498" s="8">
        <v>252000</v>
      </c>
    </row>
    <row r="499" spans="14:14" ht="15.6" x14ac:dyDescent="0.25">
      <c r="N499" s="8">
        <v>252500</v>
      </c>
    </row>
    <row r="500" spans="14:14" ht="15.6" x14ac:dyDescent="0.25">
      <c r="N500" s="8">
        <v>253000</v>
      </c>
    </row>
    <row r="501" spans="14:14" ht="15.6" x14ac:dyDescent="0.25">
      <c r="N501" s="8">
        <v>253500</v>
      </c>
    </row>
    <row r="502" spans="14:14" ht="15.6" x14ac:dyDescent="0.25">
      <c r="N502" s="8">
        <v>254000</v>
      </c>
    </row>
    <row r="503" spans="14:14" ht="15.6" x14ac:dyDescent="0.25">
      <c r="N503" s="8">
        <v>254500</v>
      </c>
    </row>
    <row r="504" spans="14:14" ht="15.6" x14ac:dyDescent="0.25">
      <c r="N504" s="8">
        <v>255000</v>
      </c>
    </row>
    <row r="505" spans="14:14" ht="15.6" x14ac:dyDescent="0.25">
      <c r="N505" s="8">
        <v>255500</v>
      </c>
    </row>
    <row r="506" spans="14:14" ht="15.6" x14ac:dyDescent="0.25">
      <c r="N506" s="8">
        <v>256000</v>
      </c>
    </row>
    <row r="507" spans="14:14" ht="15.6" x14ac:dyDescent="0.25">
      <c r="N507" s="8">
        <v>256500</v>
      </c>
    </row>
    <row r="508" spans="14:14" ht="15.6" x14ac:dyDescent="0.25">
      <c r="N508" s="8">
        <v>257000</v>
      </c>
    </row>
    <row r="509" spans="14:14" ht="15.6" x14ac:dyDescent="0.25">
      <c r="N509" s="8">
        <v>257500</v>
      </c>
    </row>
    <row r="510" spans="14:14" ht="15.6" x14ac:dyDescent="0.25">
      <c r="N510" s="8">
        <v>258000</v>
      </c>
    </row>
    <row r="511" spans="14:14" ht="15.6" x14ac:dyDescent="0.25">
      <c r="N511" s="8">
        <v>258500</v>
      </c>
    </row>
    <row r="512" spans="14:14" ht="15.6" x14ac:dyDescent="0.25">
      <c r="N512" s="8">
        <v>259000</v>
      </c>
    </row>
    <row r="513" spans="14:14" ht="15.6" x14ac:dyDescent="0.25">
      <c r="N513" s="8">
        <v>259500</v>
      </c>
    </row>
    <row r="514" spans="14:14" ht="15.6" x14ac:dyDescent="0.25">
      <c r="N514" s="8">
        <v>260000</v>
      </c>
    </row>
    <row r="515" spans="14:14" ht="15.6" x14ac:dyDescent="0.25">
      <c r="N515" s="8">
        <v>260500</v>
      </c>
    </row>
    <row r="516" spans="14:14" ht="15.6" x14ac:dyDescent="0.25">
      <c r="N516" s="8">
        <v>261000</v>
      </c>
    </row>
    <row r="517" spans="14:14" ht="15.6" x14ac:dyDescent="0.25">
      <c r="N517" s="8">
        <v>261500</v>
      </c>
    </row>
    <row r="518" spans="14:14" ht="15.6" x14ac:dyDescent="0.25">
      <c r="N518" s="8">
        <v>262000</v>
      </c>
    </row>
    <row r="519" spans="14:14" ht="15.6" x14ac:dyDescent="0.25">
      <c r="N519" s="8">
        <v>262500</v>
      </c>
    </row>
    <row r="520" spans="14:14" ht="15.6" x14ac:dyDescent="0.25">
      <c r="N520" s="8">
        <v>263000</v>
      </c>
    </row>
    <row r="521" spans="14:14" ht="15.6" x14ac:dyDescent="0.25">
      <c r="N521" s="8">
        <v>263500</v>
      </c>
    </row>
    <row r="522" spans="14:14" ht="15.6" x14ac:dyDescent="0.25">
      <c r="N522" s="8">
        <v>264000</v>
      </c>
    </row>
    <row r="523" spans="14:14" ht="15.6" x14ac:dyDescent="0.25">
      <c r="N523" s="8">
        <v>264500</v>
      </c>
    </row>
    <row r="524" spans="14:14" ht="15.6" x14ac:dyDescent="0.25">
      <c r="N524" s="8">
        <v>265000</v>
      </c>
    </row>
    <row r="525" spans="14:14" ht="15.6" x14ac:dyDescent="0.25">
      <c r="N525" s="8">
        <v>265500</v>
      </c>
    </row>
    <row r="526" spans="14:14" ht="15.6" x14ac:dyDescent="0.25">
      <c r="N526" s="8">
        <v>266000</v>
      </c>
    </row>
    <row r="527" spans="14:14" ht="15.6" x14ac:dyDescent="0.25">
      <c r="N527" s="8">
        <v>266500</v>
      </c>
    </row>
    <row r="528" spans="14:14" ht="15.6" x14ac:dyDescent="0.25">
      <c r="N528" s="8">
        <v>267000</v>
      </c>
    </row>
    <row r="529" spans="14:14" ht="15.6" x14ac:dyDescent="0.25">
      <c r="N529" s="8">
        <v>267500</v>
      </c>
    </row>
    <row r="530" spans="14:14" ht="15.6" x14ac:dyDescent="0.25">
      <c r="N530" s="8">
        <v>268000</v>
      </c>
    </row>
    <row r="531" spans="14:14" ht="15.6" x14ac:dyDescent="0.25">
      <c r="N531" s="8">
        <v>268500</v>
      </c>
    </row>
    <row r="532" spans="14:14" ht="15.6" x14ac:dyDescent="0.25">
      <c r="N532" s="8">
        <v>269000</v>
      </c>
    </row>
    <row r="533" spans="14:14" ht="15.6" x14ac:dyDescent="0.25">
      <c r="N533" s="8">
        <v>269500</v>
      </c>
    </row>
    <row r="534" spans="14:14" ht="15.6" x14ac:dyDescent="0.25">
      <c r="N534" s="8">
        <v>270000</v>
      </c>
    </row>
    <row r="535" spans="14:14" ht="15.6" x14ac:dyDescent="0.25">
      <c r="N535" s="8">
        <v>270500</v>
      </c>
    </row>
    <row r="536" spans="14:14" ht="15.6" x14ac:dyDescent="0.25">
      <c r="N536" s="8">
        <v>271000</v>
      </c>
    </row>
    <row r="537" spans="14:14" ht="15.6" x14ac:dyDescent="0.25">
      <c r="N537" s="8">
        <v>271500</v>
      </c>
    </row>
    <row r="538" spans="14:14" ht="15.6" x14ac:dyDescent="0.25">
      <c r="N538" s="8">
        <v>272000</v>
      </c>
    </row>
    <row r="539" spans="14:14" ht="15.6" x14ac:dyDescent="0.25">
      <c r="N539" s="8">
        <v>272500</v>
      </c>
    </row>
    <row r="540" spans="14:14" ht="15.6" x14ac:dyDescent="0.25">
      <c r="N540" s="8">
        <v>273000</v>
      </c>
    </row>
    <row r="541" spans="14:14" ht="15.6" x14ac:dyDescent="0.25">
      <c r="N541" s="8">
        <v>273500</v>
      </c>
    </row>
    <row r="542" spans="14:14" ht="15.6" x14ac:dyDescent="0.25">
      <c r="N542" s="8">
        <v>274000</v>
      </c>
    </row>
    <row r="543" spans="14:14" ht="15.6" x14ac:dyDescent="0.25">
      <c r="N543" s="8">
        <v>274500</v>
      </c>
    </row>
    <row r="544" spans="14:14" ht="15.6" x14ac:dyDescent="0.25">
      <c r="N544" s="8">
        <v>275000</v>
      </c>
    </row>
    <row r="545" spans="14:14" ht="15.6" x14ac:dyDescent="0.25">
      <c r="N545" s="8">
        <v>275500</v>
      </c>
    </row>
    <row r="546" spans="14:14" ht="15.6" x14ac:dyDescent="0.25">
      <c r="N546" s="8">
        <v>276000</v>
      </c>
    </row>
    <row r="547" spans="14:14" ht="15.6" x14ac:dyDescent="0.25">
      <c r="N547" s="8">
        <v>276500</v>
      </c>
    </row>
    <row r="548" spans="14:14" ht="15.6" x14ac:dyDescent="0.25">
      <c r="N548" s="8">
        <v>277000</v>
      </c>
    </row>
    <row r="549" spans="14:14" ht="15.6" x14ac:dyDescent="0.25">
      <c r="N549" s="8">
        <v>277500</v>
      </c>
    </row>
    <row r="550" spans="14:14" ht="15.6" x14ac:dyDescent="0.25">
      <c r="N550" s="8">
        <v>278000</v>
      </c>
    </row>
    <row r="551" spans="14:14" ht="15.6" x14ac:dyDescent="0.25">
      <c r="N551" s="8">
        <v>278500</v>
      </c>
    </row>
    <row r="552" spans="14:14" ht="15.6" x14ac:dyDescent="0.25">
      <c r="N552" s="8">
        <v>279000</v>
      </c>
    </row>
    <row r="553" spans="14:14" ht="15.6" x14ac:dyDescent="0.25">
      <c r="N553" s="8">
        <v>279500</v>
      </c>
    </row>
    <row r="554" spans="14:14" ht="15.6" x14ac:dyDescent="0.25">
      <c r="N554" s="8">
        <v>280000</v>
      </c>
    </row>
    <row r="555" spans="14:14" ht="15.6" x14ac:dyDescent="0.25">
      <c r="N555" s="8">
        <v>280500</v>
      </c>
    </row>
    <row r="556" spans="14:14" ht="15.6" x14ac:dyDescent="0.25">
      <c r="N556" s="8">
        <v>281000</v>
      </c>
    </row>
    <row r="557" spans="14:14" ht="15.6" x14ac:dyDescent="0.25">
      <c r="N557" s="8">
        <v>281500</v>
      </c>
    </row>
    <row r="558" spans="14:14" ht="15.6" x14ac:dyDescent="0.25">
      <c r="N558" s="8">
        <v>282000</v>
      </c>
    </row>
    <row r="559" spans="14:14" ht="15.6" x14ac:dyDescent="0.25">
      <c r="N559" s="8">
        <v>282500</v>
      </c>
    </row>
    <row r="560" spans="14:14" ht="15.6" x14ac:dyDescent="0.25">
      <c r="N560" s="8">
        <v>283000</v>
      </c>
    </row>
    <row r="561" spans="14:14" ht="15.6" x14ac:dyDescent="0.25">
      <c r="N561" s="8">
        <v>283500</v>
      </c>
    </row>
    <row r="562" spans="14:14" ht="15.6" x14ac:dyDescent="0.25">
      <c r="N562" s="8">
        <v>284000</v>
      </c>
    </row>
    <row r="563" spans="14:14" ht="15.6" x14ac:dyDescent="0.25">
      <c r="N563" s="8">
        <v>284500</v>
      </c>
    </row>
    <row r="564" spans="14:14" ht="15.6" x14ac:dyDescent="0.25">
      <c r="N564" s="8">
        <v>285000</v>
      </c>
    </row>
    <row r="565" spans="14:14" ht="15.6" x14ac:dyDescent="0.25">
      <c r="N565" s="8">
        <v>285500</v>
      </c>
    </row>
    <row r="566" spans="14:14" ht="15.6" x14ac:dyDescent="0.25">
      <c r="N566" s="8">
        <v>286000</v>
      </c>
    </row>
    <row r="567" spans="14:14" ht="15.6" x14ac:dyDescent="0.25">
      <c r="N567" s="8">
        <v>286500</v>
      </c>
    </row>
    <row r="568" spans="14:14" ht="15.6" x14ac:dyDescent="0.25">
      <c r="N568" s="8">
        <v>287000</v>
      </c>
    </row>
    <row r="569" spans="14:14" ht="15.6" x14ac:dyDescent="0.25">
      <c r="N569" s="8">
        <v>287500</v>
      </c>
    </row>
    <row r="570" spans="14:14" ht="15.6" x14ac:dyDescent="0.25">
      <c r="N570" s="8">
        <v>288000</v>
      </c>
    </row>
    <row r="571" spans="14:14" ht="15.6" x14ac:dyDescent="0.25">
      <c r="N571" s="8">
        <v>288500</v>
      </c>
    </row>
    <row r="572" spans="14:14" ht="15.6" x14ac:dyDescent="0.25">
      <c r="N572" s="8">
        <v>289000</v>
      </c>
    </row>
    <row r="573" spans="14:14" ht="15.6" x14ac:dyDescent="0.25">
      <c r="N573" s="8">
        <v>289500</v>
      </c>
    </row>
    <row r="574" spans="14:14" ht="15.6" x14ac:dyDescent="0.25">
      <c r="N574" s="8">
        <v>290000</v>
      </c>
    </row>
    <row r="575" spans="14:14" ht="15.6" x14ac:dyDescent="0.25">
      <c r="N575" s="8">
        <v>290500</v>
      </c>
    </row>
    <row r="576" spans="14:14" ht="15.6" x14ac:dyDescent="0.25">
      <c r="N576" s="8">
        <v>291000</v>
      </c>
    </row>
    <row r="577" spans="14:14" ht="15.6" x14ac:dyDescent="0.25">
      <c r="N577" s="8">
        <v>291500</v>
      </c>
    </row>
    <row r="578" spans="14:14" ht="15.6" x14ac:dyDescent="0.25">
      <c r="N578" s="8">
        <v>292000</v>
      </c>
    </row>
    <row r="579" spans="14:14" ht="15.6" x14ac:dyDescent="0.25">
      <c r="N579" s="8">
        <v>292500</v>
      </c>
    </row>
    <row r="580" spans="14:14" ht="15.6" x14ac:dyDescent="0.25">
      <c r="N580" s="8">
        <v>293000</v>
      </c>
    </row>
    <row r="581" spans="14:14" ht="15.6" x14ac:dyDescent="0.25">
      <c r="N581" s="8">
        <v>293500</v>
      </c>
    </row>
    <row r="582" spans="14:14" ht="15.6" x14ac:dyDescent="0.25">
      <c r="N582" s="8">
        <v>294000</v>
      </c>
    </row>
    <row r="583" spans="14:14" ht="15.6" x14ac:dyDescent="0.25">
      <c r="N583" s="8">
        <v>294500</v>
      </c>
    </row>
    <row r="584" spans="14:14" ht="15.6" x14ac:dyDescent="0.25">
      <c r="N584" s="8">
        <v>295000</v>
      </c>
    </row>
    <row r="585" spans="14:14" ht="15.6" x14ac:dyDescent="0.25">
      <c r="N585" s="8">
        <v>295500</v>
      </c>
    </row>
    <row r="586" spans="14:14" ht="15.6" x14ac:dyDescent="0.25">
      <c r="N586" s="8">
        <v>296000</v>
      </c>
    </row>
    <row r="587" spans="14:14" ht="15.6" x14ac:dyDescent="0.25">
      <c r="N587" s="8">
        <v>296500</v>
      </c>
    </row>
    <row r="588" spans="14:14" ht="15.6" x14ac:dyDescent="0.25">
      <c r="N588" s="8">
        <v>297000</v>
      </c>
    </row>
    <row r="589" spans="14:14" ht="15.6" x14ac:dyDescent="0.25">
      <c r="N589" s="8">
        <v>297500</v>
      </c>
    </row>
    <row r="590" spans="14:14" ht="15.6" x14ac:dyDescent="0.25">
      <c r="N590" s="8">
        <v>298000</v>
      </c>
    </row>
    <row r="591" spans="14:14" ht="15.6" x14ac:dyDescent="0.25">
      <c r="N591" s="8">
        <v>298500</v>
      </c>
    </row>
    <row r="592" spans="14:14" ht="15.6" x14ac:dyDescent="0.25">
      <c r="N592" s="8">
        <v>299000</v>
      </c>
    </row>
    <row r="593" spans="14:14" ht="15.6" x14ac:dyDescent="0.25">
      <c r="N593" s="8">
        <v>299500</v>
      </c>
    </row>
    <row r="594" spans="14:14" ht="15.6" x14ac:dyDescent="0.25">
      <c r="N594" s="8">
        <v>300000</v>
      </c>
    </row>
  </sheetData>
  <sheetProtection algorithmName="SHA-512" hashValue="qPFuqSKhaLoxgruNd06e+IfyUjoADqpPEJIG7iAeZ9cmKvzMkMDCWY0XfVVLWsPrg4iKSi+y1n+ThZmJNAo67A==" saltValue="3nst4S6yI7zL+EhNqCRCTg==" spinCount="100000" sheet="1" objects="1" scenarios="1"/>
  <mergeCells count="3">
    <mergeCell ref="AJ11:AK11"/>
    <mergeCell ref="AJ2:AK2"/>
    <mergeCell ref="AJ18:AK18"/>
  </mergeCells>
  <phoneticPr fontId="3" type="noConversion"/>
  <pageMargins left="0.7" right="0.7" top="0.75" bottom="0.75" header="0.3" footer="0.3"/>
  <pageSetup paperSize="9" orientation="portrait" horizontalDpi="0" verticalDpi="0" r:id="rId1"/>
  <tableParts count="2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26</vt:i4>
      </vt:variant>
    </vt:vector>
  </HeadingPairs>
  <TitlesOfParts>
    <vt:vector size="28" baseType="lpstr">
      <vt:lpstr>Protocolos Iatf</vt:lpstr>
      <vt:lpstr>Lista</vt:lpstr>
      <vt:lpstr>Animales</vt:lpstr>
      <vt:lpstr>ano</vt:lpstr>
      <vt:lpstr>AT</vt:lpstr>
      <vt:lpstr>Compra</vt:lpstr>
      <vt:lpstr>Contenido</vt:lpstr>
      <vt:lpstr>dia</vt:lpstr>
      <vt:lpstr>diap</vt:lpstr>
      <vt:lpstr>Dosis</vt:lpstr>
      <vt:lpstr>Duracionlactancia</vt:lpstr>
      <vt:lpstr>GANADERIA</vt:lpstr>
      <vt:lpstr>Gen</vt:lpstr>
      <vt:lpstr>IATE</vt:lpstr>
      <vt:lpstr>Lecheanimal</vt:lpstr>
      <vt:lpstr>LISTAPROTOCOLOS</vt:lpstr>
      <vt:lpstr>Litroslactancia</vt:lpstr>
      <vt:lpstr>M.O</vt:lpstr>
      <vt:lpstr>mes</vt:lpstr>
      <vt:lpstr>Pesodestete</vt:lpstr>
      <vt:lpstr>Pre</vt:lpstr>
      <vt:lpstr>precioventaleche</vt:lpstr>
      <vt:lpstr>Presentacion</vt:lpstr>
      <vt:lpstr>PROTOCOLOS</vt:lpstr>
      <vt:lpstr>Umedida</vt:lpstr>
      <vt:lpstr>Usos</vt:lpstr>
      <vt:lpstr>Valor</vt:lpstr>
      <vt:lpstr>Valorkilo</vt:lpstr>
    </vt:vector>
  </TitlesOfParts>
  <Company>MOVITECH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Solugan Sg Soluciones Ganaderas</cp:lastModifiedBy>
  <cp:lastPrinted>2026-03-25T15:17:29Z</cp:lastPrinted>
  <dcterms:created xsi:type="dcterms:W3CDTF">2006-11-06T21:37:45Z</dcterms:created>
  <dcterms:modified xsi:type="dcterms:W3CDTF">2026-05-25T20:52:12Z</dcterms:modified>
</cp:coreProperties>
</file>